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ecklist" sheetId="2" state="visible" r:id="rId2"/>
    <sheet name="Manual test sheet" sheetId="3" state="visible" r:id="rId3"/>
  </sheets>
  <definedNames>
    <definedName name="_xlnm._FilterDatabase" localSheetId="1" hidden="1">'Checklist'!$A$1:$N$308</definedName>
    <definedName name="_xlnm._FilterDatabase" localSheetId="2" hidden="1">'Manual test sheet'!$A$1:$H$102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A5F"/>
      <sz val="16"/>
    </font>
    <font>
      <b val="1"/>
    </font>
    <font>
      <color rgb="000563C1"/>
      <u val="single"/>
    </font>
    <font>
      <b val="1"/>
      <color rgb="001F3A5F"/>
      <sz val="12"/>
    </font>
    <font>
      <b val="1"/>
      <color rgb="00FFFFFF"/>
    </font>
  </fonts>
  <fills count="5">
    <fill>
      <patternFill/>
    </fill>
    <fill>
      <patternFill patternType="gray125"/>
    </fill>
    <fill>
      <patternFill patternType="solid">
        <fgColor rgb="00FFF8DC"/>
      </patternFill>
    </fill>
    <fill>
      <patternFill patternType="solid">
        <fgColor rgb="001F3A5F"/>
      </patternFill>
    </fill>
    <fill>
      <patternFill patternType="solid">
        <fgColor rgb="00EEF3F8"/>
      </patternFill>
    </fill>
  </fills>
  <borders count="2">
    <border>
      <left/>
      <right/>
      <top/>
      <bottom/>
      <diagonal/>
    </border>
    <border>
      <left style="thin">
        <color rgb="00C8D1DC"/>
      </left>
      <right style="thin">
        <color rgb="00C8D1DC"/>
      </right>
      <top style="thin">
        <color rgb="00C8D1DC"/>
      </top>
      <bottom style="thin">
        <color rgb="00C8D1DC"/>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2" borderId="1" pivotButton="0" quotePrefix="0" xfId="0"/>
    <xf numFmtId="0" fontId="4" fillId="0" borderId="0" pivotButton="0" quotePrefix="0" xfId="0"/>
    <xf numFmtId="0" fontId="0" fillId="0" borderId="0" applyAlignment="1" pivotButton="0" quotePrefix="0" xfId="0">
      <alignment horizontal="left"/>
    </xf>
    <xf numFmtId="0" fontId="5" fillId="3" borderId="1" applyAlignment="1" pivotButton="0" quotePrefix="0" xfId="0">
      <alignment horizontal="center" vertical="center" wrapText="1"/>
    </xf>
    <xf numFmtId="0" fontId="0" fillId="4"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0" fillId="2" borderId="1" applyAlignment="1" pivotButton="0" quotePrefix="0" xfId="0">
      <alignment vertical="top" wrapText="1"/>
    </xf>
    <xf numFmtId="0" fontId="0" fillId="0" borderId="1"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ont>
        <color rgb="FF595959"/>
      </font>
      <fill>
        <patternFill patternType="solid">
          <f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raazy.com" TargetMode="External" Id="rId1" /><Relationship Type="http://schemas.openxmlformats.org/officeDocument/2006/relationships/hyperlink" Target="https://draazy.com/help" TargetMode="External" Id="rId2" /></Relationships>
</file>

<file path=xl/worksheets/_rels/sheet2.xml.rels><Relationships xmlns="http://schemas.openxmlformats.org/package/2006/relationships"><Relationship Type="http://schemas.openxmlformats.org/officeDocument/2006/relationships/hyperlink" Target="https://draazy.com/signup" TargetMode="External" Id="rId1" /><Relationship Type="http://schemas.openxmlformats.org/officeDocument/2006/relationships/hyperlink" Target="https://draazy.com/help/a/create-account" TargetMode="External" Id="rId2" /><Relationship Type="http://schemas.openxmlformats.org/officeDocument/2006/relationships/hyperlink" Target="https://draazy.com/signin" TargetMode="External" Id="rId3" /><Relationship Type="http://schemas.openxmlformats.org/officeDocument/2006/relationships/hyperlink" Target="https://draazy.com/help/a/create-account" TargetMode="External" Id="rId4" /><Relationship Type="http://schemas.openxmlformats.org/officeDocument/2006/relationships/hyperlink" Target="https://draazy.com/dashboard" TargetMode="External" Id="rId5" /><Relationship Type="http://schemas.openxmlformats.org/officeDocument/2006/relationships/hyperlink" Target="https://draazy.com/help/a/manage-profile" TargetMode="External" Id="rId6" /><Relationship Type="http://schemas.openxmlformats.org/officeDocument/2006/relationships/hyperlink" Target="https://draazy.com/notifications" TargetMode="External" Id="rId7" /><Relationship Type="http://schemas.openxmlformats.org/officeDocument/2006/relationships/hyperlink" Target="https://draazy.com/help/a/notifications-language" TargetMode="External" Id="rId8" /><Relationship Type="http://schemas.openxmlformats.org/officeDocument/2006/relationships/hyperlink" Target="https://draazy.com/" TargetMode="External" Id="rId9" /><Relationship Type="http://schemas.openxmlformats.org/officeDocument/2006/relationships/hyperlink" Target="https://draazy.com/help/a/using-filters" TargetMode="External" Id="rId10" /><Relationship Type="http://schemas.openxmlformats.org/officeDocument/2006/relationships/hyperlink" Target="https://draazy.com/listings" TargetMode="External" Id="rId11" /><Relationship Type="http://schemas.openxmlformats.org/officeDocument/2006/relationships/hyperlink" Target="https://draazy.com/help/a/using-filters" TargetMode="External" Id="rId12" /><Relationship Type="http://schemas.openxmlformats.org/officeDocument/2006/relationships/hyperlink" Target="https://draazy.com/listings?view=map" TargetMode="External" Id="rId13" /><Relationship Type="http://schemas.openxmlformats.org/officeDocument/2006/relationships/hyperlink" Target="https://draazy.com/help/a/map-view-commute" TargetMode="External" Id="rId14" /><Relationship Type="http://schemas.openxmlformats.org/officeDocument/2006/relationships/hyperlink" Target="https://draazy.com/listings" TargetMode="External" Id="rId15" /><Relationship Type="http://schemas.openxmlformats.org/officeDocument/2006/relationships/hyperlink" Target="https://draazy.com/help/a/contacting-owners" TargetMode="External" Id="rId16" /><Relationship Type="http://schemas.openxmlformats.org/officeDocument/2006/relationships/hyperlink" Target="https://draazy.com/compare" TargetMode="External" Id="rId17" /><Relationship Type="http://schemas.openxmlformats.org/officeDocument/2006/relationships/hyperlink" Target="https://draazy.com/help" TargetMode="External" Id="rId18" /><Relationship Type="http://schemas.openxmlformats.org/officeDocument/2006/relationships/hyperlink" Target="https://draazy.com/saved" TargetMode="External" Id="rId19" /><Relationship Type="http://schemas.openxmlformats.org/officeDocument/2006/relationships/hyperlink" Target="https://draazy.com/help/a/saved-searches-alerts" TargetMode="External" Id="rId20" /><Relationship Type="http://schemas.openxmlformats.org/officeDocument/2006/relationships/hyperlink" Target="https://draazy.com/listings" TargetMode="External" Id="rId21" /><Relationship Type="http://schemas.openxmlformats.org/officeDocument/2006/relationships/hyperlink" Target="https://draazy.com/help/a/saved-searches-alerts" TargetMode="External" Id="rId22" /><Relationship Type="http://schemas.openxmlformats.org/officeDocument/2006/relationships/hyperlink" Target="https://draazy.com/societies" TargetMode="External" Id="rId23" /><Relationship Type="http://schemas.openxmlformats.org/officeDocument/2006/relationships/hyperlink" Target="https://draazy.com/help/a/societies-and-localities" TargetMode="External" Id="rId24" /><Relationship Type="http://schemas.openxmlformats.org/officeDocument/2006/relationships/hyperlink" Target="https://draazy.com/reels" TargetMode="External" Id="rId25" /><Relationship Type="http://schemas.openxmlformats.org/officeDocument/2006/relationships/hyperlink" Target="https://draazy.com/help" TargetMode="External" Id="rId26" /><Relationship Type="http://schemas.openxmlformats.org/officeDocument/2006/relationships/hyperlink" Target="https://draazy.com/listings" TargetMode="External" Id="rId27" /><Relationship Type="http://schemas.openxmlformats.org/officeDocument/2006/relationships/hyperlink" Target="https://draazy.com/help/a/contacting-owners" TargetMode="External" Id="rId28" /><Relationship Type="http://schemas.openxmlformats.org/officeDocument/2006/relationships/hyperlink" Target="https://draazy.com/messages" TargetMode="External" Id="rId29" /><Relationship Type="http://schemas.openxmlformats.org/officeDocument/2006/relationships/hyperlink" Target="https://draazy.com/help/a/contacting-owners" TargetMode="External" Id="rId30" /><Relationship Type="http://schemas.openxmlformats.org/officeDocument/2006/relationships/hyperlink" Target="https://draazy.com/listings" TargetMode="External" Id="rId31" /><Relationship Type="http://schemas.openxmlformats.org/officeDocument/2006/relationships/hyperlink" Target="https://draazy.com/help/a/schedule-a-visit" TargetMode="External" Id="rId32" /><Relationship Type="http://schemas.openxmlformats.org/officeDocument/2006/relationships/hyperlink" Target="https://draazy.com/tenant-profile" TargetMode="External" Id="rId33" /><Relationship Type="http://schemas.openxmlformats.org/officeDocument/2006/relationships/hyperlink" Target="https://draazy.com/help/a/tenant-profiles" TargetMode="External" Id="rId34" /><Relationship Type="http://schemas.openxmlformats.org/officeDocument/2006/relationships/hyperlink" Target="https://draazy.com/listings" TargetMode="External" Id="rId35" /><Relationship Type="http://schemas.openxmlformats.org/officeDocument/2006/relationships/hyperlink" Target="https://draazy.com/help/a/report-a-listing" TargetMode="External" Id="rId36" /><Relationship Type="http://schemas.openxmlformats.org/officeDocument/2006/relationships/hyperlink" Target="https://draazy.com/flatmates" TargetMode="External" Id="rId37" /><Relationship Type="http://schemas.openxmlformats.org/officeDocument/2006/relationships/hyperlink" Target="https://draazy.com/help/a/finding-flatmates" TargetMode="External" Id="rId38" /><Relationship Type="http://schemas.openxmlformats.org/officeDocument/2006/relationships/hyperlink" Target="https://draazy.com/flatmates" TargetMode="External" Id="rId39" /><Relationship Type="http://schemas.openxmlformats.org/officeDocument/2006/relationships/hyperlink" Target="https://draazy.com/help/a/finding-flatmates" TargetMode="External" Id="rId40" /><Relationship Type="http://schemas.openxmlformats.org/officeDocument/2006/relationships/hyperlink" Target="https://draazy.com/list-property" TargetMode="External" Id="rId41" /><Relationship Type="http://schemas.openxmlformats.org/officeDocument/2006/relationships/hyperlink" Target="https://draazy.com/help/a/post-a-listing" TargetMode="External" Id="rId42" /><Relationship Type="http://schemas.openxmlformats.org/officeDocument/2006/relationships/hyperlink" Target="https://draazy.com/list-property" TargetMode="External" Id="rId43" /><Relationship Type="http://schemas.openxmlformats.org/officeDocument/2006/relationships/hyperlink" Target="https://draazy.com/help/a/photos-that-convert" TargetMode="External" Id="rId44" /><Relationship Type="http://schemas.openxmlformats.org/officeDocument/2006/relationships/hyperlink" Target="https://draazy.com/owner-hub" TargetMode="External" Id="rId45" /><Relationship Type="http://schemas.openxmlformats.org/officeDocument/2006/relationships/hyperlink" Target="https://draazy.com/help/a/listing-freshness" TargetMode="External" Id="rId46" /><Relationship Type="http://schemas.openxmlformats.org/officeDocument/2006/relationships/hyperlink" Target="https://draazy.com/owner-hub" TargetMode="External" Id="rId47" /><Relationship Type="http://schemas.openxmlformats.org/officeDocument/2006/relationships/hyperlink" Target="https://draazy.com/help/a/managing-leads" TargetMode="External" Id="rId48" /><Relationship Type="http://schemas.openxmlformats.org/officeDocument/2006/relationships/hyperlink" Target="https://draazy.com/verify-identity" TargetMode="External" Id="rId49" /><Relationship Type="http://schemas.openxmlformats.org/officeDocument/2006/relationships/hyperlink" Target="https://draazy.com/help/a/how-we-verify" TargetMode="External" Id="rId50" /><Relationship Type="http://schemas.openxmlformats.org/officeDocument/2006/relationships/hyperlink" Target="https://draazy.com/plans" TargetMode="External" Id="rId51" /><Relationship Type="http://schemas.openxmlformats.org/officeDocument/2006/relationships/hyperlink" Target="https://draazy.com/help/a/plans-explained" TargetMode="External" Id="rId52" /><Relationship Type="http://schemas.openxmlformats.org/officeDocument/2006/relationships/hyperlink" Target="https://draazy.com/pay-rent" TargetMode="External" Id="rId53" /><Relationship Type="http://schemas.openxmlformats.org/officeDocument/2006/relationships/hyperlink" Target="https://draazy.com/help/a/paying-rent-online" TargetMode="External" Id="rId54" /><Relationship Type="http://schemas.openxmlformats.org/officeDocument/2006/relationships/hyperlink" Target="https://draazy.com/refer" TargetMode="External" Id="rId55" /><Relationship Type="http://schemas.openxmlformats.org/officeDocument/2006/relationships/hyperlink" Target="https://draazy.com/help/a/referrals-and-rewards" TargetMode="External" Id="rId56" /><Relationship Type="http://schemas.openxmlformats.org/officeDocument/2006/relationships/hyperlink" Target="https://draazy.com/services/rent-agreement" TargetMode="External" Id="rId57" /><Relationship Type="http://schemas.openxmlformats.org/officeDocument/2006/relationships/hyperlink" Target="https://draazy.com/help/a/rent-agreement-service" TargetMode="External" Id="rId58" /><Relationship Type="http://schemas.openxmlformats.org/officeDocument/2006/relationships/hyperlink" Target="https://draazy.com/services/packers-movers" TargetMode="External" Id="rId59" /><Relationship Type="http://schemas.openxmlformats.org/officeDocument/2006/relationships/hyperlink" Target="https://draazy.com/help/a/packers-and-movers" TargetMode="External" Id="rId60" /><Relationship Type="http://schemas.openxmlformats.org/officeDocument/2006/relationships/hyperlink" Target="https://draazy.com/home-loans" TargetMode="External" Id="rId61" /><Relationship Type="http://schemas.openxmlformats.org/officeDocument/2006/relationships/hyperlink" Target="https://draazy.com/help/a/home-loans-legal" TargetMode="External" Id="rId62" /><Relationship Type="http://schemas.openxmlformats.org/officeDocument/2006/relationships/hyperlink" Target="https://draazy.com/services" TargetMode="External" Id="rId63" /><Relationship Type="http://schemas.openxmlformats.org/officeDocument/2006/relationships/hyperlink" Target="https://draazy.com/help" TargetMode="External" Id="rId64" /><Relationship Type="http://schemas.openxmlformats.org/officeDocument/2006/relationships/hyperlink" Target="https://draazy.com/tools" TargetMode="External" Id="rId65" /><Relationship Type="http://schemas.openxmlformats.org/officeDocument/2006/relationships/hyperlink" Target="https://draazy.com/help" TargetMode="External" Id="rId66" /><Relationship Type="http://schemas.openxmlformats.org/officeDocument/2006/relationships/hyperlink" Target="https://draazy.com/help" TargetMode="External" Id="rId67" /><Relationship Type="http://schemas.openxmlformats.org/officeDocument/2006/relationships/hyperlink" Target="https://draazy.com/help/a/what-is-draazy" TargetMode="External" Id="rId68" /><Relationship Type="http://schemas.openxmlformats.org/officeDocument/2006/relationships/hyperlink" Target="https://draazy.com/support" TargetMode="External" Id="rId69" /><Relationship Type="http://schemas.openxmlformats.org/officeDocument/2006/relationships/hyperlink" Target="https://draazy.com/help/a/getting-help-from-support" TargetMode="External" Id="rId70" /><Relationship Type="http://schemas.openxmlformats.org/officeDocument/2006/relationships/hyperlink" Target="https://draazy.com/dashboard" TargetMode="External" Id="rId71" /><Relationship Type="http://schemas.openxmlformats.org/officeDocument/2006/relationships/hyperlink" Target="https://draazy.com/help/a/your-data-privacy" TargetMode="External" Id="rId72" /><Relationship Type="http://schemas.openxmlformats.org/officeDocument/2006/relationships/hyperlink" Target="https://draazy.com/" TargetMode="External" Id="rId73" /><Relationship Type="http://schemas.openxmlformats.org/officeDocument/2006/relationships/hyperlink" Target="https://draazy.com/help" TargetMode="External" Id="rId74" /><Relationship Type="http://schemas.openxmlformats.org/officeDocument/2006/relationships/hyperlink" Target="https://draazy.com/" TargetMode="External" Id="rId75" /><Relationship Type="http://schemas.openxmlformats.org/officeDocument/2006/relationships/hyperlink" Target="https://draazy.com/help" TargetMode="External" Id="rId76" /><Relationship Type="http://schemas.openxmlformats.org/officeDocument/2006/relationships/hyperlink" Target="https://draazy.com/dashboard" TargetMode="External" Id="rId77" /><Relationship Type="http://schemas.openxmlformats.org/officeDocument/2006/relationships/hyperlink" Target="https://draazy.com/admin" TargetMode="External" Id="rId78" /><Relationship Type="http://schemas.openxmlformats.org/officeDocument/2006/relationships/hyperlink" Target="https://draazy.com/admin" TargetMode="External" Id="rId79" /><Relationship Type="http://schemas.openxmlformats.org/officeDocument/2006/relationships/hyperlink" Target="https://draazy.com/admin/users" TargetMode="External" Id="rId80" /><Relationship Type="http://schemas.openxmlformats.org/officeDocument/2006/relationships/hyperlink" Target="https://draazy.com/admin/users" TargetMode="External" Id="rId81" /><Relationship Type="http://schemas.openxmlformats.org/officeDocument/2006/relationships/hyperlink" Target="https://draazy.com/dashboard" TargetMode="External" Id="rId82" /><Relationship Type="http://schemas.openxmlformats.org/officeDocument/2006/relationships/hyperlink" Target="https://draazy.com/admin/users" TargetMode="External" Id="rId83" /><Relationship Type="http://schemas.openxmlformats.org/officeDocument/2006/relationships/hyperlink" Target="https://draazy.com/signin" TargetMode="External" Id="rId84" /><Relationship Type="http://schemas.openxmlformats.org/officeDocument/2006/relationships/hyperlink" Target="https://draazy.com/admin" TargetMode="External" Id="rId85" /><Relationship Type="http://schemas.openxmlformats.org/officeDocument/2006/relationships/hyperlink" Target="https://draazy.com/support" TargetMode="External" Id="rId86" /><Relationship Type="http://schemas.openxmlformats.org/officeDocument/2006/relationships/hyperlink" Target="https://draazy.com/signin" TargetMode="External" Id="rId87" /><Relationship Type="http://schemas.openxmlformats.org/officeDocument/2006/relationships/hyperlink" Target="https://draazy.com/signin" TargetMode="External" Id="rId88" /><Relationship Type="http://schemas.openxmlformats.org/officeDocument/2006/relationships/hyperlink" Target="https://draazy.com/signin" TargetMode="External" Id="rId89" /><Relationship Type="http://schemas.openxmlformats.org/officeDocument/2006/relationships/hyperlink" Target="https://draazy.com/signin" TargetMode="External" Id="rId90" /><Relationship Type="http://schemas.openxmlformats.org/officeDocument/2006/relationships/hyperlink" Target="https://draazy.com/help" TargetMode="External" Id="rId91" /><Relationship Type="http://schemas.openxmlformats.org/officeDocument/2006/relationships/hyperlink" Target="https://draazy.com/dashboard" TargetMode="External" Id="rId92" /><Relationship Type="http://schemas.openxmlformats.org/officeDocument/2006/relationships/hyperlink" Target="https://draazy.com/flatmates" TargetMode="External" Id="rId93" /><Relationship Type="http://schemas.openxmlformats.org/officeDocument/2006/relationships/hyperlink" Target="https://draazy.com/dashboard" TargetMode="External" Id="rId94" /><Relationship Type="http://schemas.openxmlformats.org/officeDocument/2006/relationships/hyperlink" Target="https://draazy.com/dashboard" TargetMode="External" Id="rId95" /><Relationship Type="http://schemas.openxmlformats.org/officeDocument/2006/relationships/hyperlink" Target="https://draazy.com/" TargetMode="External" Id="rId96" /><Relationship Type="http://schemas.openxmlformats.org/officeDocument/2006/relationships/hyperlink" Target="https://draazy.com/dashboard" TargetMode="External" Id="rId97" /><Relationship Type="http://schemas.openxmlformats.org/officeDocument/2006/relationships/hyperlink" Target="https://draazy.com/messages" TargetMode="External" Id="rId98" /><Relationship Type="http://schemas.openxmlformats.org/officeDocument/2006/relationships/hyperlink" Target="https://draazy.com/messages" TargetMode="External" Id="rId99" /><Relationship Type="http://schemas.openxmlformats.org/officeDocument/2006/relationships/hyperlink" Target="https://draazy.com/dashboard" TargetMode="External" Id="rId100" /><Relationship Type="http://schemas.openxmlformats.org/officeDocument/2006/relationships/hyperlink" Target="https://draazy.com/dashboard" TargetMode="External" Id="rId101" /><Relationship Type="http://schemas.openxmlformats.org/officeDocument/2006/relationships/hyperlink" Target="https://draazy.com/dashboard#visits" TargetMode="External" Id="rId102" /><Relationship Type="http://schemas.openxmlformats.org/officeDocument/2006/relationships/hyperlink" Target="https://draazy.com/dashboard" TargetMode="External" Id="rId103" /><Relationship Type="http://schemas.openxmlformats.org/officeDocument/2006/relationships/hyperlink" Target="https://draazy.com/messages" TargetMode="External" Id="rId104" /><Relationship Type="http://schemas.openxmlformats.org/officeDocument/2006/relationships/hyperlink" Target="https://draazy.com/dashboard" TargetMode="External" Id="rId105" /><Relationship Type="http://schemas.openxmlformats.org/officeDocument/2006/relationships/hyperlink" Target="https://draazy.com/services/rent-agreement" TargetMode="External" Id="rId106" /><Relationship Type="http://schemas.openxmlformats.org/officeDocument/2006/relationships/hyperlink" Target="https://draazy.com/dashboard" TargetMode="External" Id="rId107" /><Relationship Type="http://schemas.openxmlformats.org/officeDocument/2006/relationships/hyperlink" Target="https://draazy.com/pay-rent" TargetMode="External" Id="rId108" /><Relationship Type="http://schemas.openxmlformats.org/officeDocument/2006/relationships/hyperlink" Target="https://draazy.com/messages" TargetMode="External" Id="rId109" /><Relationship Type="http://schemas.openxmlformats.org/officeDocument/2006/relationships/hyperlink" Target="https://draazy.com/admin/properties" TargetMode="External" Id="rId110" /><Relationship Type="http://schemas.openxmlformats.org/officeDocument/2006/relationships/hyperlink" Target="https://draazy.com/admin/properties" TargetMode="External" Id="rId111" /><Relationship Type="http://schemas.openxmlformats.org/officeDocument/2006/relationships/hyperlink" Target="https://draazy.com/admin/properties" TargetMode="External" Id="rId112" /><Relationship Type="http://schemas.openxmlformats.org/officeDocument/2006/relationships/hyperlink" Target="https://draazy.com/admin/properties" TargetMode="External" Id="rId113" /><Relationship Type="http://schemas.openxmlformats.org/officeDocument/2006/relationships/hyperlink" Target="https://draazy.com/admin/properties" TargetMode="External" Id="rId114" /><Relationship Type="http://schemas.openxmlformats.org/officeDocument/2006/relationships/hyperlink" Target="https://draazy.com/dashboard" TargetMode="External" Id="rId115" /><Relationship Type="http://schemas.openxmlformats.org/officeDocument/2006/relationships/hyperlink" Target="https://draazy.com/admin/post-on-behalf" TargetMode="External" Id="rId116" /><Relationship Type="http://schemas.openxmlformats.org/officeDocument/2006/relationships/hyperlink" Target="https://draazy.com/admin/properties" TargetMode="External" Id="rId117" /><Relationship Type="http://schemas.openxmlformats.org/officeDocument/2006/relationships/hyperlink" Target="https://draazy.com/admin" TargetMode="External" Id="rId118" /><Relationship Type="http://schemas.openxmlformats.org/officeDocument/2006/relationships/hyperlink" Target="https://draazy.com/admin/properties" TargetMode="External" Id="rId119" /><Relationship Type="http://schemas.openxmlformats.org/officeDocument/2006/relationships/hyperlink" Target="https://draazy.com/admin/properties" TargetMode="External" Id="rId120" /><Relationship Type="http://schemas.openxmlformats.org/officeDocument/2006/relationships/hyperlink" Target="https://draazy.com/admin/properties" TargetMode="External" Id="rId121" /><Relationship Type="http://schemas.openxmlformats.org/officeDocument/2006/relationships/hyperlink" Target="https://draazy.com/admin/kyc-review" TargetMode="External" Id="rId122" /><Relationship Type="http://schemas.openxmlformats.org/officeDocument/2006/relationships/hyperlink" Target="https://draazy.com/admin/kyc-review" TargetMode="External" Id="rId123" /><Relationship Type="http://schemas.openxmlformats.org/officeDocument/2006/relationships/hyperlink" Target="https://draazy.com/admin/kyc-review" TargetMode="External" Id="rId124" /><Relationship Type="http://schemas.openxmlformats.org/officeDocument/2006/relationships/hyperlink" Target="https://draazy.com/admin/users" TargetMode="External" Id="rId125" /><Relationship Type="http://schemas.openxmlformats.org/officeDocument/2006/relationships/hyperlink" Target="https://draazy.com/admin/users" TargetMode="External" Id="rId126" /><Relationship Type="http://schemas.openxmlformats.org/officeDocument/2006/relationships/hyperlink" Target="https://draazy.com/admin/properties" TargetMode="External" Id="rId127" /><Relationship Type="http://schemas.openxmlformats.org/officeDocument/2006/relationships/hyperlink" Target="https://draazy.com/admin/flatmates" TargetMode="External" Id="rId128" /><Relationship Type="http://schemas.openxmlformats.org/officeDocument/2006/relationships/hyperlink" Target="https://draazy.com/admin/flatmates" TargetMode="External" Id="rId129" /><Relationship Type="http://schemas.openxmlformats.org/officeDocument/2006/relationships/hyperlink" Target="https://draazy.com/admin/flatmates" TargetMode="External" Id="rId130" /><Relationship Type="http://schemas.openxmlformats.org/officeDocument/2006/relationships/hyperlink" Target="https://draazy.com/admin/reports" TargetMode="External" Id="rId131" /><Relationship Type="http://schemas.openxmlformats.org/officeDocument/2006/relationships/hyperlink" Target="https://draazy.com/admin/support" TargetMode="External" Id="rId132" /><Relationship Type="http://schemas.openxmlformats.org/officeDocument/2006/relationships/hyperlink" Target="https://draazy.com/admin/enquiries" TargetMode="External" Id="rId133" /><Relationship Type="http://schemas.openxmlformats.org/officeDocument/2006/relationships/hyperlink" Target="https://draazy.com/admin/rent-agreement" TargetMode="External" Id="rId134" /><Relationship Type="http://schemas.openxmlformats.org/officeDocument/2006/relationships/hyperlink" Target="https://draazy.com/admin/help-feedback" TargetMode="External" Id="rId135" /><Relationship Type="http://schemas.openxmlformats.org/officeDocument/2006/relationships/hyperlink" Target="https://draazy.com/admin" TargetMode="External" Id="rId136" /><Relationship Type="http://schemas.openxmlformats.org/officeDocument/2006/relationships/hyperlink" Target="https://draazy.com/admin/users" TargetMode="External" Id="rId137" /><Relationship Type="http://schemas.openxmlformats.org/officeDocument/2006/relationships/hyperlink" Target="https://draazy.com/admin/users" TargetMode="External" Id="rId138" /><Relationship Type="http://schemas.openxmlformats.org/officeDocument/2006/relationships/hyperlink" Target="https://draazy.com/admin/users" TargetMode="External" Id="rId139" /><Relationship Type="http://schemas.openxmlformats.org/officeDocument/2006/relationships/hyperlink" Target="https://draazy.com/admin/team" TargetMode="External" Id="rId140" /><Relationship Type="http://schemas.openxmlformats.org/officeDocument/2006/relationships/hyperlink" Target="https://draazy.com/admin/staff-activity" TargetMode="External" Id="rId141" /><Relationship Type="http://schemas.openxmlformats.org/officeDocument/2006/relationships/hyperlink" Target="https://draazy.com/admin" TargetMode="External" Id="rId142" /><Relationship Type="http://schemas.openxmlformats.org/officeDocument/2006/relationships/hyperlink" Target="https://draazy.com/admin" TargetMode="External" Id="rId143" /><Relationship Type="http://schemas.openxmlformats.org/officeDocument/2006/relationships/hyperlink" Target="https://draazy.com/admin/finance" TargetMode="External" Id="rId144" /><Relationship Type="http://schemas.openxmlformats.org/officeDocument/2006/relationships/hyperlink" Target="https://draazy.com/admin/finance" TargetMode="External" Id="rId145" /><Relationship Type="http://schemas.openxmlformats.org/officeDocument/2006/relationships/hyperlink" Target="https://draazy.com/dashboard#billing" TargetMode="External" Id="rId146" /><Relationship Type="http://schemas.openxmlformats.org/officeDocument/2006/relationships/hyperlink" Target="https://draazy.com/help/a/invoices-and-refunds" TargetMode="External" Id="rId147" /><Relationship Type="http://schemas.openxmlformats.org/officeDocument/2006/relationships/hyperlink" Target="https://draazy.com/admin/content" TargetMode="External" Id="rId148" /><Relationship Type="http://schemas.openxmlformats.org/officeDocument/2006/relationships/hyperlink" Target="https://draazy.com/admin/localities" TargetMode="External" Id="rId149" /><Relationship Type="http://schemas.openxmlformats.org/officeDocument/2006/relationships/hyperlink" Target="https://draazy.com/admin/integrations" TargetMode="External" Id="rId150" /><Relationship Type="http://schemas.openxmlformats.org/officeDocument/2006/relationships/hyperlink" Target="https://draazy.com/admin/analytics" TargetMode="External" Id="rId151" /><Relationship Type="http://schemas.openxmlformats.org/officeDocument/2006/relationships/hyperlink" Target="https://draazy.com/admin/runbooks" TargetMode="External" Id="rId152" /><Relationship Type="http://schemas.openxmlformats.org/officeDocument/2006/relationships/hyperlink" Target="https://draazy.com/admin" TargetMode="External" Id="rId153" /><Relationship Type="http://schemas.openxmlformats.org/officeDocument/2006/relationships/hyperlink" Target="https://draazy.com/flatmates" TargetMode="External" Id="rId154" /><Relationship Type="http://schemas.openxmlformats.org/officeDocument/2006/relationships/hyperlink" Target="https://draazy.com/flatmates" TargetMode="External" Id="rId155" /><Relationship Type="http://schemas.openxmlformats.org/officeDocument/2006/relationships/hyperlink" Target="https://draazy.com/flatmates" TargetMode="External" Id="rId156" /><Relationship Type="http://schemas.openxmlformats.org/officeDocument/2006/relationships/hyperlink" Target="https://draazy.com/dashboard" TargetMode="External" Id="rId157" /><Relationship Type="http://schemas.openxmlformats.org/officeDocument/2006/relationships/hyperlink" Target="https://draazy.com/dashboard" TargetMode="External" Id="rId158" /><Relationship Type="http://schemas.openxmlformats.org/officeDocument/2006/relationships/hyperlink" Target="https://draazy.com/dashboard" TargetMode="External" Id="rId159" /><Relationship Type="http://schemas.openxmlformats.org/officeDocument/2006/relationships/hyperlink" Target="https://draazy.com/dashboard" TargetMode="External" Id="rId160" /><Relationship Type="http://schemas.openxmlformats.org/officeDocument/2006/relationships/hyperlink" Target="https://draazy.com/flatmates" TargetMode="External" Id="rId161" /><Relationship Type="http://schemas.openxmlformats.org/officeDocument/2006/relationships/hyperlink" Target="https://draazy.com/flatmates" TargetMode="External" Id="rId162" /><Relationship Type="http://schemas.openxmlformats.org/officeDocument/2006/relationships/hyperlink" Target="https://draazy.com/flatmates" TargetMode="External" Id="rId163" /><Relationship Type="http://schemas.openxmlformats.org/officeDocument/2006/relationships/hyperlink" Target="https://draazy.com/flatmates" TargetMode="External" Id="rId164" /><Relationship Type="http://schemas.openxmlformats.org/officeDocument/2006/relationships/hyperlink" Target="https://draazy.com/flatmates" TargetMode="External" Id="rId165" /><Relationship Type="http://schemas.openxmlformats.org/officeDocument/2006/relationships/hyperlink" Target="https://draazy.com/flatmates" TargetMode="External" Id="rId166" /><Relationship Type="http://schemas.openxmlformats.org/officeDocument/2006/relationships/hyperlink" Target="https://draazy.com/flatmates" TargetMode="External" Id="rId167" /><Relationship Type="http://schemas.openxmlformats.org/officeDocument/2006/relationships/hyperlink" Target="https://draazy.com/dashboard" TargetMode="External" Id="rId168" /><Relationship Type="http://schemas.openxmlformats.org/officeDocument/2006/relationships/hyperlink" Target="https://draazy.com/flatmates" TargetMode="External" Id="rId169" /><Relationship Type="http://schemas.openxmlformats.org/officeDocument/2006/relationships/hyperlink" Target="https://draazy.com/flatmates" TargetMode="External" Id="rId170" /><Relationship Type="http://schemas.openxmlformats.org/officeDocument/2006/relationships/hyperlink" Target="https://draazy.com/messages" TargetMode="External" Id="rId171" /><Relationship Type="http://schemas.openxmlformats.org/officeDocument/2006/relationships/hyperlink" Target="https://draazy.com/plans" TargetMode="External" Id="rId172" /><Relationship Type="http://schemas.openxmlformats.org/officeDocument/2006/relationships/hyperlink" Target="https://draazy.com/plans" TargetMode="External" Id="rId173" /><Relationship Type="http://schemas.openxmlformats.org/officeDocument/2006/relationships/hyperlink" Target="https://draazy.com/plans" TargetMode="External" Id="rId174" /><Relationship Type="http://schemas.openxmlformats.org/officeDocument/2006/relationships/hyperlink" Target="https://draazy.com/plans" TargetMode="External" Id="rId175" /><Relationship Type="http://schemas.openxmlformats.org/officeDocument/2006/relationships/hyperlink" Target="https://draazy.com/dashboard" TargetMode="External" Id="rId176" /><Relationship Type="http://schemas.openxmlformats.org/officeDocument/2006/relationships/hyperlink" Target="https://draazy.com/signin" TargetMode="External" Id="rId177" /><Relationship Type="http://schemas.openxmlformats.org/officeDocument/2006/relationships/hyperlink" Target="https://draazy.com/admin/integrations" TargetMode="External" Id="rId178" /><Relationship Type="http://schemas.openxmlformats.org/officeDocument/2006/relationships/hyperlink" Target="https://draazy.com/dashboard" TargetMode="External" Id="rId179" /><Relationship Type="http://schemas.openxmlformats.org/officeDocument/2006/relationships/hyperlink" Target="https://draazy.com/dashboard" TargetMode="External" Id="rId180" /><Relationship Type="http://schemas.openxmlformats.org/officeDocument/2006/relationships/hyperlink" Target="https://draazy.com/" TargetMode="External" Id="rId181" /><Relationship Type="http://schemas.openxmlformats.org/officeDocument/2006/relationships/hyperlink" Target="https://draazy.com/" TargetMode="External" Id="rId182" /><Relationship Type="http://schemas.openxmlformats.org/officeDocument/2006/relationships/hyperlink" Target="https://draazy.com/dashboard" TargetMode="External" Id="rId183" /><Relationship Type="http://schemas.openxmlformats.org/officeDocument/2006/relationships/hyperlink" Target="https://draazy.com/list-property" TargetMode="External" Id="rId184" /><Relationship Type="http://schemas.openxmlformats.org/officeDocument/2006/relationships/hyperlink" Target="https://draazy.com/" TargetMode="External" Id="rId185" /><Relationship Type="http://schemas.openxmlformats.org/officeDocument/2006/relationships/hyperlink" Target="https://draazy.com/" TargetMode="External" Id="rId186" /><Relationship Type="http://schemas.openxmlformats.org/officeDocument/2006/relationships/hyperlink" Target="https://draazy.com/" TargetMode="External" Id="rId187" /><Relationship Type="http://schemas.openxmlformats.org/officeDocument/2006/relationships/hyperlink" Target="https://draazy.com/signin" TargetMode="External" Id="rId188" /><Relationship Type="http://schemas.openxmlformats.org/officeDocument/2006/relationships/hyperlink" Target="https://draazy.com/" TargetMode="External" Id="rId189" /><Relationship Type="http://schemas.openxmlformats.org/officeDocument/2006/relationships/hyperlink" Target="https://draazy.com/" TargetMode="External" Id="rId190" /><Relationship Type="http://schemas.openxmlformats.org/officeDocument/2006/relationships/hyperlink" Target="https://draazy.com/" TargetMode="External" Id="rId191" /><Relationship Type="http://schemas.openxmlformats.org/officeDocument/2006/relationships/hyperlink" Target="https://draazy.com/" TargetMode="External" Id="rId192" /><Relationship Type="http://schemas.openxmlformats.org/officeDocument/2006/relationships/hyperlink" Target="https://draazy.com/" TargetMode="External" Id="rId193" /><Relationship Type="http://schemas.openxmlformats.org/officeDocument/2006/relationships/hyperlink" Target="https://draazy.com/" TargetMode="External" Id="rId194" /><Relationship Type="http://schemas.openxmlformats.org/officeDocument/2006/relationships/hyperlink" Target="https://draazy.com/listings" TargetMode="External" Id="rId195" /><Relationship Type="http://schemas.openxmlformats.org/officeDocument/2006/relationships/hyperlink" Target="https://draazy.com/admin" TargetMode="External" Id="rId196" /><Relationship Type="http://schemas.openxmlformats.org/officeDocument/2006/relationships/hyperlink" Target="https://draazy.com/property/p5133" TargetMode="External" Id="rId197" /><Relationship Type="http://schemas.openxmlformats.org/officeDocument/2006/relationships/hyperlink" Target="https://draazy.com/help" TargetMode="External" Id="rId198" /><Relationship Type="http://schemas.openxmlformats.org/officeDocument/2006/relationships/hyperlink" Target="https://draazy.com/signin" TargetMode="External" Id="rId199" /><Relationship Type="http://schemas.openxmlformats.org/officeDocument/2006/relationships/hyperlink" Target="https://draazy.com/dashboard" TargetMode="External" Id="rId200" /><Relationship Type="http://schemas.openxmlformats.org/officeDocument/2006/relationships/hyperlink" Target="https://draazy.com/property/p5133" TargetMode="External" Id="rId201" /><Relationship Type="http://schemas.openxmlformats.org/officeDocument/2006/relationships/hyperlink" Target="https://draazy.com/help" TargetMode="External" Id="rId202" /><Relationship Type="http://schemas.openxmlformats.org/officeDocument/2006/relationships/hyperlink" Target="https://draazy.com/" TargetMode="External" Id="rId203" /><Relationship Type="http://schemas.openxmlformats.org/officeDocument/2006/relationships/hyperlink" Target="https://draazy.com/listings" TargetMode="External" Id="rId204" /><Relationship Type="http://schemas.openxmlformats.org/officeDocument/2006/relationships/hyperlink" Target="https://draazy.com/list-property" TargetMode="External" Id="rId205" /><Relationship Type="http://schemas.openxmlformats.org/officeDocument/2006/relationships/hyperlink" Target="https://draazy.com/list-property" TargetMode="External" Id="rId206" /><Relationship Type="http://schemas.openxmlformats.org/officeDocument/2006/relationships/hyperlink" Target="https://draazy.com/saved" TargetMode="External" Id="rId207" /><Relationship Type="http://schemas.openxmlformats.org/officeDocument/2006/relationships/hyperlink" Target="https://draazy.com/help" TargetMode="External" Id="rId208" /><Relationship Type="http://schemas.openxmlformats.org/officeDocument/2006/relationships/hyperlink" Target="https://draazy.com/listings?view=map" TargetMode="External" Id="rId209" /><Relationship Type="http://schemas.openxmlformats.org/officeDocument/2006/relationships/hyperlink" Target="https://draazy.com/reels" TargetMode="External" Id="rId210" /><Relationship Type="http://schemas.openxmlformats.org/officeDocument/2006/relationships/hyperlink" Target="https://draazy.com/" TargetMode="External" Id="rId211" /><Relationship Type="http://schemas.openxmlformats.org/officeDocument/2006/relationships/hyperlink" Target="https://draazy.com/signin" TargetMode="External" Id="rId212" /><Relationship Type="http://schemas.openxmlformats.org/officeDocument/2006/relationships/hyperlink" Target="https://draazy.com/admin/team" TargetMode="External" Id="rId213" /><Relationship Type="http://schemas.openxmlformats.org/officeDocument/2006/relationships/hyperlink" Target="https://draazy.com/notifications" TargetMode="External" Id="rId214" /><Relationship Type="http://schemas.openxmlformats.org/officeDocument/2006/relationships/hyperlink" Target="https://draazy.com/flatmates" TargetMode="External" Id="rId215" /><Relationship Type="http://schemas.openxmlformats.org/officeDocument/2006/relationships/hyperlink" Target="https://draazy.com/flatmates" TargetMode="External" Id="rId216" /><Relationship Type="http://schemas.openxmlformats.org/officeDocument/2006/relationships/hyperlink" Target="https://draazy.com/messages" TargetMode="External" Id="rId217" /><Relationship Type="http://schemas.openxmlformats.org/officeDocument/2006/relationships/hyperlink" Target="https://draazy.com/support" TargetMode="External" Id="rId218" /><Relationship Type="http://schemas.openxmlformats.org/officeDocument/2006/relationships/hyperlink" Target="https://draazy.com/flatmates" TargetMode="External" Id="rId219" /><Relationship Type="http://schemas.openxmlformats.org/officeDocument/2006/relationships/hyperlink" Target="https://draazy.com/list-property" TargetMode="External" Id="rId220" /><Relationship Type="http://schemas.openxmlformats.org/officeDocument/2006/relationships/hyperlink" Target="https://draazy.com/admin/properties" TargetMode="External" Id="rId221" /><Relationship Type="http://schemas.openxmlformats.org/officeDocument/2006/relationships/hyperlink" Target="https://draazy.com/listings" TargetMode="External" Id="rId222" /><Relationship Type="http://schemas.openxmlformats.org/officeDocument/2006/relationships/hyperlink" Target="https://draazy.com/dashboard" TargetMode="External" Id="rId223" /><Relationship Type="http://schemas.openxmlformats.org/officeDocument/2006/relationships/hyperlink" Target="https://draazy.com/dashboard" TargetMode="External" Id="rId224" /><Relationship Type="http://schemas.openxmlformats.org/officeDocument/2006/relationships/hyperlink" Target="https://draazy.com/listings" TargetMode="External" Id="rId225" /><Relationship Type="http://schemas.openxmlformats.org/officeDocument/2006/relationships/hyperlink" Target="https://draazy.com/admin" TargetMode="External" Id="rId226" /><Relationship Type="http://schemas.openxmlformats.org/officeDocument/2006/relationships/hyperlink" Target="https://draazy.com/admin" TargetMode="External" Id="rId227" /><Relationship Type="http://schemas.openxmlformats.org/officeDocument/2006/relationships/hyperlink" Target="https://draazy.com/admin" TargetMode="External" Id="rId228" /><Relationship Type="http://schemas.openxmlformats.org/officeDocument/2006/relationships/hyperlink" Target="https://draazy.com/support" TargetMode="External" Id="rId229" /><Relationship Type="http://schemas.openxmlformats.org/officeDocument/2006/relationships/hyperlink" Target="https://draazy.com/" TargetMode="External" Id="rId230" /><Relationship Type="http://schemas.openxmlformats.org/officeDocument/2006/relationships/hyperlink" Target="https://draazy.com/listings" TargetMode="External" Id="rId231" /><Relationship Type="http://schemas.openxmlformats.org/officeDocument/2006/relationships/hyperlink" Target="https://draazy.com/listings" TargetMode="External" Id="rId232" /><Relationship Type="http://schemas.openxmlformats.org/officeDocument/2006/relationships/hyperlink" Target="https://draazy.com/contact" TargetMode="External" Id="rId233" /><Relationship Type="http://schemas.openxmlformats.org/officeDocument/2006/relationships/hyperlink" Target="https://draazy.com/listings" TargetMode="External" Id="rId234" /><Relationship Type="http://schemas.openxmlformats.org/officeDocument/2006/relationships/hyperlink" Target="https://draazy.com/help/a/contacting-owners" TargetMode="External" Id="rId235" /><Relationship Type="http://schemas.openxmlformats.org/officeDocument/2006/relationships/hyperlink" Target="https://draazy.com/listings" TargetMode="External" Id="rId236" /><Relationship Type="http://schemas.openxmlformats.org/officeDocument/2006/relationships/hyperlink" Target="https://draazy.com/dashboard#visits" TargetMode="External" Id="rId237" /><Relationship Type="http://schemas.openxmlformats.org/officeDocument/2006/relationships/hyperlink" Target="https://draazy.com/help/a/schedule-a-visit" TargetMode="External" Id="rId238" /><Relationship Type="http://schemas.openxmlformats.org/officeDocument/2006/relationships/hyperlink" Target="https://draazy.com/messages" TargetMode="External" Id="rId239" /><Relationship Type="http://schemas.openxmlformats.org/officeDocument/2006/relationships/hyperlink" Target="https://draazy.com/services/rent-agreement" TargetMode="External" Id="rId240" /><Relationship Type="http://schemas.openxmlformats.org/officeDocument/2006/relationships/hyperlink" Target="https://draazy.com/help/a/rent-agreement-service" TargetMode="External" Id="rId241" /><Relationship Type="http://schemas.openxmlformats.org/officeDocument/2006/relationships/hyperlink" Target="https://draazy.com/refer" TargetMode="External" Id="rId242" /><Relationship Type="http://schemas.openxmlformats.org/officeDocument/2006/relationships/hyperlink" Target="https://draazy.com/admin" TargetMode="External" Id="rId243" /><Relationship Type="http://schemas.openxmlformats.org/officeDocument/2006/relationships/hyperlink" Target="https://draazy.com/contact" TargetMode="External" Id="rId244" /><Relationship Type="http://schemas.openxmlformats.org/officeDocument/2006/relationships/hyperlink" Target="https://draazy.com/signin" TargetMode="External" Id="rId245" /><Relationship Type="http://schemas.openxmlformats.org/officeDocument/2006/relationships/hyperlink" Target="https://draazy.com/post-property" TargetMode="External" Id="rId246" /><Relationship Type="http://schemas.openxmlformats.org/officeDocument/2006/relationships/hyperlink" Target="https://draazy.com/help/a/plans-explained" TargetMode="External" Id="rId247" /><Relationship Type="http://schemas.openxmlformats.org/officeDocument/2006/relationships/hyperlink" Target="https://draazy.com/plans" TargetMode="External" Id="rId248" /><Relationship Type="http://schemas.openxmlformats.org/officeDocument/2006/relationships/hyperlink" Target="https://draazy.com/help/a/contacting-owners" TargetMode="External" Id="rId249" /><Relationship Type="http://schemas.openxmlformats.org/officeDocument/2006/relationships/hyperlink" Target="https://draazy.com/dashboard" TargetMode="External" Id="rId250" /><Relationship Type="http://schemas.openxmlformats.org/officeDocument/2006/relationships/hyperlink" Target="https://draazy.com/help/a/contacting-owners" TargetMode="External" Id="rId251" /><Relationship Type="http://schemas.openxmlformats.org/officeDocument/2006/relationships/hyperlink" Target="https://draazy.com/dashboard#billing" TargetMode="External" Id="rId252" /><Relationship Type="http://schemas.openxmlformats.org/officeDocument/2006/relationships/hyperlink" Target="https://draazy.com/help/a/invoices-and-refunds" TargetMode="External" Id="rId253" /><Relationship Type="http://schemas.openxmlformats.org/officeDocument/2006/relationships/hyperlink" Target="https://draazy.com/plans" TargetMode="External" Id="rId254" /><Relationship Type="http://schemas.openxmlformats.org/officeDocument/2006/relationships/hyperlink" Target="https://draazy.com/post-property" TargetMode="External" Id="rId255" /><Relationship Type="http://schemas.openxmlformats.org/officeDocument/2006/relationships/hyperlink" Target="https://draazy.com/help/a/plans-explained" TargetMode="External" Id="rId256" /><Relationship Type="http://schemas.openxmlformats.org/officeDocument/2006/relationships/hyperlink" Target="https://draazy.com/post-property" TargetMode="External" Id="rId257" /><Relationship Type="http://schemas.openxmlformats.org/officeDocument/2006/relationships/hyperlink" Target="https://draazy.com/help/a/post-a-listing" TargetMode="External" Id="rId258" /><Relationship Type="http://schemas.openxmlformats.org/officeDocument/2006/relationships/hyperlink" Target="https://draazy.com/refer" TargetMode="External" Id="rId259" /><Relationship Type="http://schemas.openxmlformats.org/officeDocument/2006/relationships/hyperlink" Target="https://draazy.com/help/a/referrals-and-rewards" TargetMode="External" Id="rId260" /><Relationship Type="http://schemas.openxmlformats.org/officeDocument/2006/relationships/hyperlink" Target="https://draazy.com/listings" TargetMode="External" Id="rId261" /><Relationship Type="http://schemas.openxmlformats.org/officeDocument/2006/relationships/hyperlink" Target="https://draazy.com/help/a/using-filters" TargetMode="External" Id="rId262" /><Relationship Type="http://schemas.openxmlformats.org/officeDocument/2006/relationships/hyperlink" Target="https://draazy.com/post-property" TargetMode="External" Id="rId263" /><Relationship Type="http://schemas.openxmlformats.org/officeDocument/2006/relationships/hyperlink" Target="https://draazy.com/help/a/post-a-listing" TargetMode="External" Id="rId264" /><Relationship Type="http://schemas.openxmlformats.org/officeDocument/2006/relationships/hyperlink" Target="https://draazy.com/support" TargetMode="External" Id="rId265" /><Relationship Type="http://schemas.openxmlformats.org/officeDocument/2006/relationships/hyperlink" Target="https://draazy.com/help/a/getting-help-from-support" TargetMode="External" Id="rId266" /><Relationship Type="http://schemas.openxmlformats.org/officeDocument/2006/relationships/hyperlink" Target="https://draazy.com/listings" TargetMode="External" Id="rId267" /><Relationship Type="http://schemas.openxmlformats.org/officeDocument/2006/relationships/hyperlink" Target="https://draazy.com/help/a/schedule-a-visit" TargetMode="External" Id="rId268" /><Relationship Type="http://schemas.openxmlformats.org/officeDocument/2006/relationships/hyperlink" Target="https://draazy.com/listings?view=map" TargetMode="External" Id="rId269" /><Relationship Type="http://schemas.openxmlformats.org/officeDocument/2006/relationships/hyperlink" Target="https://draazy.com/verify-identity" TargetMode="External" Id="rId270" /><Relationship Type="http://schemas.openxmlformats.org/officeDocument/2006/relationships/hyperlink" Target="https://draazy.com/help/a/how-we-verify" TargetMode="External" Id="rId271" /><Relationship Type="http://schemas.openxmlformats.org/officeDocument/2006/relationships/hyperlink" Target="https://draazy.com/dashboard" TargetMode="External" Id="rId272" /></Relationships>
</file>

<file path=xl/worksheets/sheet1.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24" customWidth="1" min="1" max="1"/>
    <col width="80" customWidth="1" min="2" max="2"/>
  </cols>
  <sheetData>
    <row r="1">
      <c r="A1" s="1" t="inlineStr">
        <is>
          <t>Draazy - Tester Checklist</t>
        </is>
      </c>
    </row>
    <row r="3">
      <c r="A3" s="2" t="inlineStr">
        <is>
          <t>Website</t>
        </is>
      </c>
      <c r="B3" s="3" t="inlineStr">
        <is>
          <t>https://draazy.com</t>
        </is>
      </c>
    </row>
    <row r="4">
      <c r="A4" s="2" t="inlineStr">
        <is>
          <t>Help Center</t>
        </is>
      </c>
      <c r="B4" s="3" t="inlineStr">
        <is>
          <t>https://draazy.com/help</t>
        </is>
      </c>
    </row>
    <row r="5">
      <c r="A5" s="2" t="inlineStr">
        <is>
          <t>Your name</t>
        </is>
      </c>
      <c r="B5" s="4" t="inlineStr">
        <is>
          <t>QA pass (AI assistant, agent-driven browser sessions)</t>
        </is>
      </c>
    </row>
    <row r="6">
      <c r="A6" s="2" t="inlineStr">
        <is>
          <t>Phone / Laptop</t>
        </is>
      </c>
      <c r="B6" s="4" t="inlineStr">
        <is>
          <t>Windows laptop; phone sizes 360x640 and 390x844 (plus landscape); desktop 1366x768 and 1920x1080. No real phones.</t>
        </is>
      </c>
    </row>
    <row r="7">
      <c r="A7" s="2" t="inlineStr">
        <is>
          <t>Browser</t>
        </is>
      </c>
      <c r="B7" s="4" t="inlineStr">
        <is>
          <t>Chromium and Firefox (Playwright builds); WebKit build on Windows for a Safari-engine sweep. Real Safari and real phones: Blocked (SB-11).</t>
        </is>
      </c>
    </row>
    <row r="8">
      <c r="A8" s="2" t="inlineStr">
        <is>
          <t>Test date</t>
        </is>
      </c>
      <c r="B8" s="4" t="inlineStr">
        <is>
          <t>2026-10-14</t>
        </is>
      </c>
    </row>
    <row r="9">
      <c r="A9" s="2" t="inlineStr"/>
    </row>
    <row r="10">
      <c r="A10" s="2" t="inlineStr">
        <is>
          <t>How to test</t>
        </is>
      </c>
      <c r="B10" t="inlineStr">
        <is>
          <t>1. Go to the 'Checklist' tab and try each feature in order.</t>
        </is>
      </c>
    </row>
    <row r="11">
      <c r="A11" s="2" t="inlineStr"/>
      <c r="B11" t="inlineStr">
        <is>
          <t>2. Set Status: Pass / Fail / Not tested / Blocked.</t>
        </is>
      </c>
    </row>
    <row r="12">
      <c r="A12" s="2" t="inlineStr"/>
      <c r="B12" t="inlineStr">
        <is>
          <t>3. If Fail: write what happened in 'Notes' (what you did, what you saw). Screenshots help.</t>
        </is>
      </c>
    </row>
    <row r="13">
      <c r="A13" s="2" t="inlineStr"/>
      <c r="B13" t="inlineStr">
        <is>
          <t>4. Stuck? Click the 'Help' link on that row.</t>
        </is>
      </c>
    </row>
    <row r="14">
      <c r="A14" s="2" t="inlineStr"/>
      <c r="B14" t="inlineStr">
        <is>
          <t>5. Do NOT make real payments unless asked.</t>
        </is>
      </c>
    </row>
    <row r="15">
      <c r="A15" s="2" t="inlineStr"/>
      <c r="B15" t="inlineStr">
        <is>
          <t>6. Send this file back when done. Thank you!</t>
        </is>
      </c>
    </row>
    <row r="16">
      <c r="B16" t="inlineStr">
        <is>
          <t>7. Role(s) = who to test as. Severity = how bad it is if it fails. Bug ref = the defect number in the QA summary.</t>
        </is>
      </c>
    </row>
    <row r="17">
      <c r="A17" s="5" t="inlineStr">
        <is>
          <t>Summary</t>
        </is>
      </c>
    </row>
    <row r="18">
      <c r="A18" s="2" t="inlineStr">
        <is>
          <t>Pass</t>
        </is>
      </c>
      <c r="B18" s="6">
        <f>COUNTIF(Checklist!H:H,"Pass")</f>
        <v/>
      </c>
    </row>
    <row r="19">
      <c r="A19" s="2" t="inlineStr">
        <is>
          <t>Fail</t>
        </is>
      </c>
      <c r="B19" s="6">
        <f>COUNTIF(Checklist!H:H,"Fail")</f>
        <v/>
      </c>
    </row>
    <row r="20">
      <c r="A20" s="2" t="inlineStr">
        <is>
          <t>Blocked</t>
        </is>
      </c>
      <c r="B20" s="6">
        <f>COUNTIF(Checklist!H:H,"Blocked")</f>
        <v/>
      </c>
    </row>
    <row r="21">
      <c r="A21" s="2" t="inlineStr">
        <is>
          <t>Not tested</t>
        </is>
      </c>
      <c r="B21" s="6">
        <f>COUNTIF(Checklist!H:H,"Not tested")</f>
        <v/>
      </c>
    </row>
    <row r="22">
      <c r="A22" s="2" t="inlineStr">
        <is>
          <t>Total features</t>
        </is>
      </c>
      <c r="B22" s="6">
        <f>COUNTA(Checklist!A:A)-1</f>
        <v/>
      </c>
    </row>
    <row r="24" ht="90" customHeight="1">
      <c r="A24" s="5" t="inlineStr">
        <is>
          <t>About this pass</t>
        </is>
      </c>
      <c r="B24" s="15" t="inlineStr">
        <is>
          <t>8. Viewport = the screen size the row was tested on. How tested = Manual (done by hand in a browser), Automated (test scripts or direct server calls only) or Both. A UI row is only Pass when done by hand. In this pass "by hand" means an AI agent driving a real browser step by step and checking screenshots. The "Manual test sheet" tab lists every page x role x screen size.</t>
        </is>
      </c>
    </row>
  </sheetData>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N31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5" customWidth="1" min="2" max="2"/>
    <col width="24" customWidth="1" min="3" max="3"/>
    <col width="46" customWidth="1" min="4" max="4"/>
    <col width="42" customWidth="1" min="5" max="5"/>
    <col width="14" customWidth="1" min="6" max="6"/>
    <col width="10" customWidth="1" min="7" max="7"/>
    <col width="13" customWidth="1" min="8" max="8"/>
    <col width="60" customWidth="1" min="9" max="9"/>
    <col width="22" customWidth="1" min="10" max="10"/>
    <col width="11" customWidth="1" min="11" max="11"/>
    <col width="10" customWidth="1" min="12" max="12"/>
    <col width="12" customWidth="1" min="13" max="13"/>
    <col width="14" customWidth="1" min="14" max="14"/>
  </cols>
  <sheetData>
    <row r="1" ht="30" customHeight="1">
      <c r="A1" s="7" t="inlineStr">
        <is>
          <t>#</t>
        </is>
      </c>
      <c r="B1" s="7" t="inlineStr">
        <is>
          <t>Area</t>
        </is>
      </c>
      <c r="C1" s="7" t="inlineStr">
        <is>
          <t>Feature</t>
        </is>
      </c>
      <c r="D1" s="7" t="inlineStr">
        <is>
          <t>What to do</t>
        </is>
      </c>
      <c r="E1" s="7" t="inlineStr">
        <is>
          <t>What should happen</t>
        </is>
      </c>
      <c r="F1" s="7" t="inlineStr">
        <is>
          <t>Open page</t>
        </is>
      </c>
      <c r="G1" s="7" t="inlineStr">
        <is>
          <t>Help</t>
        </is>
      </c>
      <c r="H1" s="7" t="inlineStr">
        <is>
          <t>Status</t>
        </is>
      </c>
      <c r="I1" s="7" t="inlineStr">
        <is>
          <t>Notes (if something is wrong)</t>
        </is>
      </c>
      <c r="J1" s="7" t="inlineStr">
        <is>
          <t>Role(s)</t>
        </is>
      </c>
      <c r="K1" s="7" t="inlineStr">
        <is>
          <t>Severity</t>
        </is>
      </c>
      <c r="L1" s="7" t="inlineStr">
        <is>
          <t>Bug ref</t>
        </is>
      </c>
      <c r="M1" s="7" t="inlineStr">
        <is>
          <t>Viewport</t>
        </is>
      </c>
      <c r="N1" s="7" t="inlineStr">
        <is>
          <t>How tested</t>
        </is>
      </c>
    </row>
    <row r="2">
      <c r="A2" s="8" t="n">
        <v>1</v>
      </c>
      <c r="B2" s="8" t="inlineStr">
        <is>
          <t>Account</t>
        </is>
      </c>
      <c r="C2" s="9" t="inlineStr">
        <is>
          <t>Sign up</t>
        </is>
      </c>
      <c r="D2" s="8" t="inlineStr">
        <is>
          <t>Open Sign up, enter your mobile number, enter the OTP sent on WhatsApp.</t>
        </is>
      </c>
      <c r="E2" s="8" t="inlineStr">
        <is>
          <t>Account is created and you are logged in.</t>
        </is>
      </c>
      <c r="F2" s="10" t="inlineStr">
        <is>
          <t>Open</t>
        </is>
      </c>
      <c r="G2" s="10" t="inlineStr">
        <is>
          <t>Help</t>
        </is>
      </c>
      <c r="H2" s="11" t="inlineStr">
        <is>
          <t>Pass</t>
        </is>
      </c>
      <c r="I2" s="8" t="inlineStr">
        <is>
          <t>QA 2026-10-14 (by hand, agent-driven): An erased number signed up again from the sign-up page at 390x844 and was signed in. || Earlier: QA 2026-10-12: 36 automated browser checks passed (3 test files); 1 direct server checks passed. WhatsApp delivery itself was not tested (test OTP provider used) — see Integrations – WhatsApp rows.</t>
        </is>
      </c>
      <c r="J2" s="8" t="inlineStr">
        <is>
          <t>Guest</t>
        </is>
      </c>
      <c r="K2" s="8" t="inlineStr">
        <is>
          <t>Critical</t>
        </is>
      </c>
      <c r="L2" s="8" t="n"/>
      <c r="M2" s="8" t="inlineStr">
        <is>
          <t>Phone</t>
        </is>
      </c>
      <c r="N2" s="8" t="inlineStr">
        <is>
          <t>Both</t>
        </is>
      </c>
    </row>
    <row r="3">
      <c r="A3" s="8" t="n">
        <v>2</v>
      </c>
      <c r="B3" s="8" t="inlineStr">
        <is>
          <t>Account</t>
        </is>
      </c>
      <c r="C3" s="9" t="inlineStr">
        <is>
          <t>Log in &amp; log out</t>
        </is>
      </c>
      <c r="D3" s="8" t="inlineStr">
        <is>
          <t>Log out, then log in again with the WhatsApp OTP.</t>
        </is>
      </c>
      <c r="E3" s="8" t="inlineStr">
        <is>
          <t>OTP arrives; login and logout both work.</t>
        </is>
      </c>
      <c r="F3" s="10" t="inlineStr">
        <is>
          <t>Open</t>
        </is>
      </c>
      <c r="G3" s="10" t="inlineStr">
        <is>
          <t>Help</t>
        </is>
      </c>
      <c r="H3" s="11" t="inlineStr">
        <is>
          <t>Pass</t>
        </is>
      </c>
      <c r="I3" s="8" t="inlineStr">
        <is>
          <t>QA 2026-10-15 (by hand, agent-driven Chromium) at 390x844 and 1366x768: signed in with the OTP screen, opened the account menu, tapped Log out -&gt; landed on Home, token gone; the old token got 401 from the server at once; /dashboard then sent me to Sign in; signed in again with the OTP and landed on Dashboard. WhatsApp delivery itself is SB-05.</t>
        </is>
      </c>
      <c r="J3" s="8" t="inlineStr">
        <is>
          <t>All signed-in</t>
        </is>
      </c>
      <c r="K3" s="8" t="inlineStr">
        <is>
          <t>Critical</t>
        </is>
      </c>
      <c r="L3" s="8" t="n"/>
      <c r="M3" s="8" t="inlineStr">
        <is>
          <t>Both</t>
        </is>
      </c>
      <c r="N3" s="8" t="inlineStr">
        <is>
          <t>Both</t>
        </is>
      </c>
    </row>
    <row r="4">
      <c r="A4" s="8" t="n">
        <v>3</v>
      </c>
      <c r="B4" s="8" t="inlineStr">
        <is>
          <t>Account</t>
        </is>
      </c>
      <c r="C4" s="9" t="inlineStr">
        <is>
          <t>Edit profile</t>
        </is>
      </c>
      <c r="D4" s="8" t="inlineStr">
        <is>
          <t>Open Dashboard, change your name / email, save.</t>
        </is>
      </c>
      <c r="E4" s="8" t="inlineStr">
        <is>
          <t>Changes are saved and still there after refresh.</t>
        </is>
      </c>
      <c r="F4" s="10" t="inlineStr">
        <is>
          <t>Open</t>
        </is>
      </c>
      <c r="G4" s="10" t="inlineStr">
        <is>
          <t>Help</t>
        </is>
      </c>
      <c r="H4" s="11" t="inlineStr">
        <is>
          <t>Pass</t>
        </is>
      </c>
      <c r="I4" s="8" t="inlineStr">
        <is>
          <t>QA 2026-10-15 (by hand) at 390x844 and 1366x768: Dashboard &gt; Account &gt; Profile: changed name and email, Save changes showed "Saved"; both still there after refresh. A bad email ("not-an-email") shows "Enter a valid email address". Screens: mt01-p390-profile-saved, mt01-p390-bad-email.</t>
        </is>
      </c>
      <c r="J4" s="8" t="inlineStr">
        <is>
          <t>All signed-in</t>
        </is>
      </c>
      <c r="K4" s="8" t="inlineStr">
        <is>
          <t>Medium</t>
        </is>
      </c>
      <c r="L4" s="8" t="n"/>
      <c r="M4" s="8" t="inlineStr">
        <is>
          <t>Both</t>
        </is>
      </c>
      <c r="N4" s="8" t="inlineStr">
        <is>
          <t>Both</t>
        </is>
      </c>
    </row>
    <row r="5">
      <c r="A5" s="8" t="n">
        <v>4</v>
      </c>
      <c r="B5" s="8" t="inlineStr">
        <is>
          <t>Account</t>
        </is>
      </c>
      <c r="C5" s="9" t="inlineStr">
        <is>
          <t>Notifications &amp; theme</t>
        </is>
      </c>
      <c r="D5" s="8" t="inlineStr">
        <is>
          <t>Open notifications. Change notification and appearance settings.</t>
        </is>
      </c>
      <c r="E5" s="8" t="inlineStr">
        <is>
          <t>Settings save; notifications open correctly.</t>
        </is>
      </c>
      <c r="F5" s="10" t="inlineStr">
        <is>
          <t>Open</t>
        </is>
      </c>
      <c r="G5" s="10" t="inlineStr">
        <is>
          <t>Help</t>
        </is>
      </c>
      <c r="H5" s="11" t="inlineStr">
        <is>
          <t>Pass</t>
        </is>
      </c>
      <c r="I5" s="8" t="inlineStr">
        <is>
          <t>QA 2026-10-15 (by hand) at 390x844 and 1366x768: Notification Preferences switch turned off, "updated" shown, still off after refresh; Appearance &gt; Light mode off gives the dark theme and it stays after refresh; Reduce motion on adds the reduce-motion setting and stays after refresh; /notifications opens with its heading. Seen: Rahul (seeded, legacy verified flag) has "Locked while verified" under Full name while the chip says "ID not verified" (QA-B23).</t>
        </is>
      </c>
      <c r="J5" s="8" t="inlineStr">
        <is>
          <t>All signed-in</t>
        </is>
      </c>
      <c r="K5" s="8" t="inlineStr">
        <is>
          <t>Medium</t>
        </is>
      </c>
      <c r="L5" s="8" t="inlineStr">
        <is>
          <t>QA-B23</t>
        </is>
      </c>
      <c r="M5" s="8" t="inlineStr">
        <is>
          <t>Both</t>
        </is>
      </c>
      <c r="N5" s="8" t="inlineStr">
        <is>
          <t>Both</t>
        </is>
      </c>
    </row>
    <row r="6">
      <c r="A6" s="12" t="n">
        <v>5</v>
      </c>
      <c r="B6" s="12" t="inlineStr">
        <is>
          <t>Search</t>
        </is>
      </c>
      <c r="C6" s="13" t="inlineStr">
        <is>
          <t>Search from Home</t>
        </is>
      </c>
      <c r="D6" s="12" t="inlineStr">
        <is>
          <t>Pick Rent or Buy, type a locality (e.g. Baner), search.</t>
        </is>
      </c>
      <c r="E6" s="12" t="inlineStr">
        <is>
          <t>Matching properties are shown.</t>
        </is>
      </c>
      <c r="F6" s="14" t="inlineStr">
        <is>
          <t>Open</t>
        </is>
      </c>
      <c r="G6" s="14" t="inlineStr">
        <is>
          <t>Help</t>
        </is>
      </c>
      <c r="H6" s="11" t="inlineStr">
        <is>
          <t>Pass</t>
        </is>
      </c>
      <c r="I6" s="12" t="inlineStr">
        <is>
          <t>QA 2026-10-15 (by hand, agent-driven Chromium). Phone 390x844: Home has no hero search box; bottom-nav Search opens /listings?deal=buy, tapping Rent shows 26 homes, typing "2 BHK in Baner" in smart search gives 1 Baner 2 BHK. Desktop 1366/1920: Rent + type "Baner" shows suggestion "Baner 2 listings", Search opens /listings?deal=rent&amp;loc=baner with 2 Baner homes. No console errors.</t>
        </is>
      </c>
      <c r="J6" s="12" t="inlineStr">
        <is>
          <t>Guest, Buyer, Tenant</t>
        </is>
      </c>
      <c r="K6" s="12" t="inlineStr">
        <is>
          <t>Critical</t>
        </is>
      </c>
      <c r="L6" s="12" t="n"/>
      <c r="M6" s="12" t="inlineStr">
        <is>
          <t>Both</t>
        </is>
      </c>
      <c r="N6" s="12" t="inlineStr">
        <is>
          <t>Both</t>
        </is>
      </c>
    </row>
    <row r="7">
      <c r="A7" s="12" t="n">
        <v>6</v>
      </c>
      <c r="B7" s="12" t="inlineStr">
        <is>
          <t>Search</t>
        </is>
      </c>
      <c r="C7" s="13" t="inlineStr">
        <is>
          <t>Filters</t>
        </is>
      </c>
      <c r="D7" s="12" t="inlineStr">
        <is>
          <t>Use filters: budget, BHK, furnishing, etc. Then clear them.</t>
        </is>
      </c>
      <c r="E7" s="12" t="inlineStr">
        <is>
          <t>Results change correctly; clear resets them.</t>
        </is>
      </c>
      <c r="F7" s="14" t="inlineStr">
        <is>
          <t>Open</t>
        </is>
      </c>
      <c r="G7" s="14" t="inlineStr">
        <is>
          <t>Help</t>
        </is>
      </c>
      <c r="H7" s="11" t="inlineStr">
        <is>
          <t>Pass</t>
        </is>
      </c>
      <c r="I7" s="12" t="inlineStr">
        <is>
          <t>QA 2026-10-15 (by hand) at 390x844 and 1366x768: Flat (26-&gt;4), 2 BHK (-&gt;2), Furnished (-&gt;1), max-rent slider moved with keyboard arrows (-&gt;88,000). All filters kept in the address and after refresh; phone Filters button shows "Filters 4"; Clear All returns 26. No sideways scroll, no console errors.</t>
        </is>
      </c>
      <c r="J7" s="12" t="inlineStr">
        <is>
          <t>Guest, Buyer, Tenant</t>
        </is>
      </c>
      <c r="K7" s="12" t="inlineStr">
        <is>
          <t>High</t>
        </is>
      </c>
      <c r="L7" s="12" t="n"/>
      <c r="M7" s="12" t="inlineStr">
        <is>
          <t>Both</t>
        </is>
      </c>
      <c r="N7" s="12" t="inlineStr">
        <is>
          <t>Both</t>
        </is>
      </c>
    </row>
    <row r="8">
      <c r="A8" s="12" t="n">
        <v>7</v>
      </c>
      <c r="B8" s="12" t="inlineStr">
        <is>
          <t>Search</t>
        </is>
      </c>
      <c r="C8" s="13" t="inlineStr">
        <is>
          <t>Map view &amp; commute</t>
        </is>
      </c>
      <c r="D8" s="12" t="inlineStr">
        <is>
          <t>Switch to Map view. Try the commute / travel-time option.</t>
        </is>
      </c>
      <c r="E8" s="12" t="inlineStr">
        <is>
          <t>Pins show on map; travel time looks sensible.</t>
        </is>
      </c>
      <c r="F8" s="14" t="inlineStr">
        <is>
          <t>Open</t>
        </is>
      </c>
      <c r="G8" s="14" t="inlineStr">
        <is>
          <t>Help</t>
        </is>
      </c>
      <c r="H8" s="11" t="inlineStr">
        <is>
          <t>Blocked</t>
        </is>
      </c>
      <c r="I8" s="12" t="inlineStr">
        <is>
          <t>QA 2026-10-15: map view opens and shows the "Focus your map" area picker at 390 and 1366, but map tiles/pins and commute times need a live Google Maps key (SB-09). Cannot prove locally.</t>
        </is>
      </c>
      <c r="J8" s="12" t="inlineStr">
        <is>
          <t>Guest, Buyer, Tenant</t>
        </is>
      </c>
      <c r="K8" s="12" t="inlineStr">
        <is>
          <t>Medium</t>
        </is>
      </c>
      <c r="L8" s="12" t="inlineStr">
        <is>
          <t>SB-09</t>
        </is>
      </c>
      <c r="M8" s="12" t="inlineStr">
        <is>
          <t>Both</t>
        </is>
      </c>
      <c r="N8" s="12" t="inlineStr">
        <is>
          <t>Manual</t>
        </is>
      </c>
    </row>
    <row r="9">
      <c r="A9" s="12" t="n">
        <v>8</v>
      </c>
      <c r="B9" s="12" t="inlineStr">
        <is>
          <t>Search</t>
        </is>
      </c>
      <c r="C9" s="13" t="inlineStr">
        <is>
          <t>Property details</t>
        </is>
      </c>
      <c r="D9" s="12" t="inlineStr">
        <is>
          <t>Open any property. Check photos, price, amenities, location.</t>
        </is>
      </c>
      <c r="E9" s="12" t="inlineStr">
        <is>
          <t>Page loads fully; photos and details make sense.</t>
        </is>
      </c>
      <c r="F9" s="14" t="inlineStr">
        <is>
          <t>Open</t>
        </is>
      </c>
      <c r="G9" s="14" t="inlineStr">
        <is>
          <t>Help</t>
        </is>
      </c>
      <c r="H9" s="11" t="inlineStr">
        <is>
          <t>Pass</t>
        </is>
      </c>
      <c r="I9" s="12" t="inlineStr">
        <is>
          <t>QA 2026-10-14 (by hand, agent-driven): Listing tabs and links: Pass - 25/25 targets responded; no console errors; no sideways scroll || Earlier: QA 2026-10-12: 26 automated browser checks passed (8 test files).</t>
        </is>
      </c>
      <c r="J9" s="12" t="inlineStr">
        <is>
          <t>Guest, Buyer, Tenant</t>
        </is>
      </c>
      <c r="K9" s="12" t="inlineStr">
        <is>
          <t>Critical</t>
        </is>
      </c>
      <c r="L9" s="12" t="n"/>
      <c r="M9" s="12" t="inlineStr">
        <is>
          <t>Phone</t>
        </is>
      </c>
      <c r="N9" s="12" t="inlineStr">
        <is>
          <t>Both</t>
        </is>
      </c>
    </row>
    <row r="10">
      <c r="A10" s="12" t="n">
        <v>9</v>
      </c>
      <c r="B10" s="12" t="inlineStr">
        <is>
          <t>Search</t>
        </is>
      </c>
      <c r="C10" s="13" t="inlineStr">
        <is>
          <t>Compare properties</t>
        </is>
      </c>
      <c r="D10" s="12" t="inlineStr">
        <is>
          <t>Add 2-3 properties to compare and open Compare.</t>
        </is>
      </c>
      <c r="E10" s="12" t="inlineStr">
        <is>
          <t>Properties are shown side by side.</t>
        </is>
      </c>
      <c r="F10" s="14" t="inlineStr">
        <is>
          <t>Open</t>
        </is>
      </c>
      <c r="G10" s="14" t="inlineStr">
        <is>
          <t>Help</t>
        </is>
      </c>
      <c r="H10" s="11" t="inlineStr">
        <is>
          <t>Pass</t>
        </is>
      </c>
      <c r="I10" s="12" t="inlineStr">
        <is>
          <t>QA 2026-10-15 (by hand) as buyer Arjun at 390x844 and 1366x768: compare icon on 3 property pages -&gt; /compare shows all 3 side by side with best values marked; phone shows "Swipe to compare" and scrolls sideways inside the table only.</t>
        </is>
      </c>
      <c r="J10" s="12" t="inlineStr">
        <is>
          <t>Guest, Buyer, Tenant</t>
        </is>
      </c>
      <c r="K10" s="12" t="inlineStr">
        <is>
          <t>Medium</t>
        </is>
      </c>
      <c r="L10" s="12" t="n"/>
      <c r="M10" s="12" t="inlineStr">
        <is>
          <t>Both</t>
        </is>
      </c>
      <c r="N10" s="12" t="inlineStr">
        <is>
          <t>Both</t>
        </is>
      </c>
    </row>
    <row r="11">
      <c r="A11" s="12" t="n">
        <v>10</v>
      </c>
      <c r="B11" s="12" t="inlineStr">
        <is>
          <t>Search</t>
        </is>
      </c>
      <c r="C11" s="13" t="inlineStr">
        <is>
          <t>Shortlist (save) property</t>
        </is>
      </c>
      <c r="D11" s="12" t="inlineStr">
        <is>
          <t>Tap the heart on a property, then open Saved.</t>
        </is>
      </c>
      <c r="E11" s="12" t="inlineStr">
        <is>
          <t>Property appears in Saved; can be removed.</t>
        </is>
      </c>
      <c r="F11" s="14" t="inlineStr">
        <is>
          <t>Open</t>
        </is>
      </c>
      <c r="G11" s="14" t="inlineStr">
        <is>
          <t>Help</t>
        </is>
      </c>
      <c r="H11" s="11" t="inlineStr">
        <is>
          <t>Pass</t>
        </is>
      </c>
      <c r="I11" s="12" t="inlineStr">
        <is>
          <t>QA 2026-10-14 (by hand, agent-driven): Save and Compare toggles: Pass || Earlier: QA 2026-10-12: 11 automated browser checks passed (3 test files).</t>
        </is>
      </c>
      <c r="J11" s="12" t="inlineStr">
        <is>
          <t>Buyer, Tenant</t>
        </is>
      </c>
      <c r="K11" s="12" t="inlineStr">
        <is>
          <t>Medium</t>
        </is>
      </c>
      <c r="L11" s="12" t="n"/>
      <c r="M11" s="12" t="inlineStr">
        <is>
          <t>Phone</t>
        </is>
      </c>
      <c r="N11" s="12" t="inlineStr">
        <is>
          <t>Both</t>
        </is>
      </c>
    </row>
    <row r="12">
      <c r="A12" s="12" t="n">
        <v>11</v>
      </c>
      <c r="B12" s="12" t="inlineStr">
        <is>
          <t>Search</t>
        </is>
      </c>
      <c r="C12" s="13" t="inlineStr">
        <is>
          <t>Save search &amp; alerts</t>
        </is>
      </c>
      <c r="D12" s="12" t="inlineStr">
        <is>
          <t>Run a search, tap 'Save this search', pick alert frequency.</t>
        </is>
      </c>
      <c r="E12" s="12" t="inlineStr">
        <is>
          <t>Search is saved in Dashboard &gt; Saved &gt; Alerts.</t>
        </is>
      </c>
      <c r="F12" s="14" t="inlineStr">
        <is>
          <t>Open</t>
        </is>
      </c>
      <c r="G12" s="14" t="inlineStr">
        <is>
          <t>Help</t>
        </is>
      </c>
      <c r="H12" s="11" t="inlineStr">
        <is>
          <t>Pass</t>
        </is>
      </c>
      <c r="I12" s="12" t="inlineStr">
        <is>
          <t>QA 2026-10-15 (by hand) at 390 and 1366: Save search on Rent + Baner -&gt; toast "Search saved - we'll alert you on WhatsApp for new matches"; Dashboard &gt; Saved &gt; Alerts lists "Rent - Baner". WhatsApp delivery itself is SB-03 (needs live keys).</t>
        </is>
      </c>
      <c r="J12" s="12" t="inlineStr">
        <is>
          <t>Buyer, Tenant</t>
        </is>
      </c>
      <c r="K12" s="12" t="inlineStr">
        <is>
          <t>Medium</t>
        </is>
      </c>
      <c r="L12" s="12" t="n"/>
      <c r="M12" s="12" t="inlineStr">
        <is>
          <t>Both</t>
        </is>
      </c>
      <c r="N12" s="12" t="inlineStr">
        <is>
          <t>Both</t>
        </is>
      </c>
    </row>
    <row r="13">
      <c r="A13" s="12" t="n">
        <v>12</v>
      </c>
      <c r="B13" s="12" t="inlineStr">
        <is>
          <t>Search</t>
        </is>
      </c>
      <c r="C13" s="13" t="inlineStr">
        <is>
          <t>Societies &amp; localities</t>
        </is>
      </c>
      <c r="D13" s="12" t="inlineStr">
        <is>
          <t>Open a society page and a locality page.</t>
        </is>
      </c>
      <c r="E13" s="12" t="inlineStr">
        <is>
          <t>Info, photos and listings for that place are shown.</t>
        </is>
      </c>
      <c r="F13" s="14" t="inlineStr">
        <is>
          <t>Open</t>
        </is>
      </c>
      <c r="G13" s="14" t="inlineStr">
        <is>
          <t>Help</t>
        </is>
      </c>
      <c r="H13" s="11" t="inlineStr">
        <is>
          <t>Pass</t>
        </is>
      </c>
      <c r="I13" s="12" t="inlineStr">
        <is>
          <t>QA 2026-10-15 (by hand) at 390 and 1366: society page Golden Springs shows facts and rating; Homes tab lists 2 homes; Location tab shows commute "2.4 km drive". /locality/baner guide shows "11 verified homes"; View Properties opens /listings?deal=buy&amp;loc=baner (9 homes). 0 console errors.</t>
        </is>
      </c>
      <c r="J13" s="12" t="inlineStr">
        <is>
          <t>Guest, Buyer, Tenant</t>
        </is>
      </c>
      <c r="K13" s="12" t="inlineStr">
        <is>
          <t>Medium</t>
        </is>
      </c>
      <c r="L13" s="12" t="n"/>
      <c r="M13" s="12" t="inlineStr">
        <is>
          <t>Both</t>
        </is>
      </c>
      <c r="N13" s="12" t="inlineStr">
        <is>
          <t>Both</t>
        </is>
      </c>
    </row>
    <row r="14">
      <c r="A14" s="12" t="n">
        <v>13</v>
      </c>
      <c r="B14" s="12" t="inlineStr">
        <is>
          <t>Search</t>
        </is>
      </c>
      <c r="C14" s="13" t="inlineStr">
        <is>
          <t>Reels</t>
        </is>
      </c>
      <c r="D14" s="12" t="inlineStr">
        <is>
          <t>Open Reels and scroll through videos.</t>
        </is>
      </c>
      <c r="E14" s="12" t="inlineStr">
        <is>
          <t>Videos play smoothly; can open the property.</t>
        </is>
      </c>
      <c r="F14" s="14" t="inlineStr">
        <is>
          <t>Open</t>
        </is>
      </c>
      <c r="G14" s="14" t="inlineStr">
        <is>
          <t>Help</t>
        </is>
      </c>
      <c r="H14" s="11" t="inlineStr">
        <is>
          <t>Pass</t>
        </is>
      </c>
      <c r="I14" s="12" t="inlineStr">
        <is>
          <t>QA 2026-10-15 (by hand): reels are photo slideshows. Phone 390: finger swipe moves to the next reel (first swipe sometimes only toggles play); desktop 1366: mouse wheel and Down arrow move to the next reel. "View home" on the reel on screen opens that reel's home (p5015 phone, p5013 desktop). Real-phone feel is SB-11.</t>
        </is>
      </c>
      <c r="J14" s="12" t="inlineStr">
        <is>
          <t>Guest, Buyer, Tenant</t>
        </is>
      </c>
      <c r="K14" s="12" t="inlineStr">
        <is>
          <t>Low</t>
        </is>
      </c>
      <c r="L14" s="12" t="n"/>
      <c r="M14" s="12" t="inlineStr">
        <is>
          <t>Both</t>
        </is>
      </c>
      <c r="N14" s="12" t="inlineStr">
        <is>
          <t>Both</t>
        </is>
      </c>
    </row>
    <row r="15">
      <c r="A15" s="8" t="n">
        <v>14</v>
      </c>
      <c r="B15" s="8" t="inlineStr">
        <is>
          <t>Tenant / Buyer</t>
        </is>
      </c>
      <c r="C15" s="9" t="inlineStr">
        <is>
          <t>Contact owner</t>
        </is>
      </c>
      <c r="D15" s="8" t="inlineStr">
        <is>
          <t>On a property, tap Contact Owner (or Request number) and send the request.</t>
        </is>
      </c>
      <c r="E15" s="8" t="inlineStr">
        <is>
          <t>Request is sent and the remaining free contacts count drops. The owner's number shows only after the owner approves.</t>
        </is>
      </c>
      <c r="F15" s="10" t="inlineStr">
        <is>
          <t>Open</t>
        </is>
      </c>
      <c r="G15" s="10" t="inlineStr">
        <is>
          <t>Help</t>
        </is>
      </c>
      <c r="H15" s="11" t="inlineStr">
        <is>
          <t>Pass</t>
        </is>
      </c>
      <c r="I15" s="8" t="inlineStr">
        <is>
          <t>QA 2026-10-15 (by hand, agent-driven Chromium): sale listing at 390x844: number masked "+91 96••• •••72" until the owner accepted at 1366x768 (Dashboard &gt; Requests &gt; Accept); then full number and "Message on WhatsApp" shown. Label typo QA-B08 not rechecked.</t>
        </is>
      </c>
      <c r="J15" s="8" t="inlineStr">
        <is>
          <t>Buyer, Tenant</t>
        </is>
      </c>
      <c r="K15" s="8" t="inlineStr">
        <is>
          <t>Critical</t>
        </is>
      </c>
      <c r="L15" s="8" t="inlineStr">
        <is>
          <t>QA-B08</t>
        </is>
      </c>
      <c r="M15" s="8" t="inlineStr">
        <is>
          <t>Both</t>
        </is>
      </c>
      <c r="N15" s="8" t="inlineStr">
        <is>
          <t>Manual</t>
        </is>
      </c>
    </row>
    <row r="16">
      <c r="A16" s="8" t="n">
        <v>15</v>
      </c>
      <c r="B16" s="8" t="inlineStr">
        <is>
          <t>Tenant / Buyer</t>
        </is>
      </c>
      <c r="C16" s="9" t="inlineStr">
        <is>
          <t>Chat with owner</t>
        </is>
      </c>
      <c r="D16" s="8" t="inlineStr">
        <is>
          <t>Send a message to an owner, open Messages.</t>
        </is>
      </c>
      <c r="E16" s="8" t="inlineStr">
        <is>
          <t>Message is sent and visible in Messages.</t>
        </is>
      </c>
      <c r="F16" s="10" t="inlineStr">
        <is>
          <t>Open</t>
        </is>
      </c>
      <c r="G16" s="10" t="inlineStr">
        <is>
          <t>Help</t>
        </is>
      </c>
      <c r="H16" s="11" t="inlineStr">
        <is>
          <t>Not tested</t>
        </is>
      </c>
      <c r="I16" s="8" t="inlineStr">
        <is>
          <t>RETEST: fixed in code + e2e on 2026-10-15 (QA-B11; QA-B27; QA-B28). Previous result: Fail. QA 2026-10-15 retest (by hand, agent-driven Chromium): on an owner-posted listing the same-browser path now works (buyer 390 sent enquiry, owner accepted at 1366, buyer opened Messages and the thread was there) BUT the first message arrived three times (QA-B28). From a second browser/device, "Chat with Owner" (desktop owner card and phone contact sheet) opens "No chats yet", and "Send enquiry" after acceptance shows "Enquiry sent" but sends nothing (QA-B27). Steps/expected/actual: see QA-B27 and QA-B28 in tasks/todo.md. Env: Chromium 390x844 + 1366x768, buyers 9607722371/9607722372, owner 9604809072. Evidence: mt04-d1366-b3-otherdevice.png, mt04-p390-b3-otherdevice.png, mt04-p390-b2-messages.png. Original QA-B11 short-ID case not re-run on seeded listings.</t>
        </is>
      </c>
      <c r="J16" s="8" t="inlineStr">
        <is>
          <t>Buyer, Tenant, Owner</t>
        </is>
      </c>
      <c r="K16" s="8" t="inlineStr">
        <is>
          <t>High</t>
        </is>
      </c>
      <c r="L16" s="8" t="inlineStr">
        <is>
          <t>QA-B11; QA-B27; QA-B28</t>
        </is>
      </c>
      <c r="M16" s="8" t="inlineStr">
        <is>
          <t>Both</t>
        </is>
      </c>
      <c r="N16" s="8" t="inlineStr">
        <is>
          <t>Manual</t>
        </is>
      </c>
    </row>
    <row r="17">
      <c r="A17" s="8" t="n">
        <v>16</v>
      </c>
      <c r="B17" s="8" t="inlineStr">
        <is>
          <t>Tenant / Buyer</t>
        </is>
      </c>
      <c r="C17" s="9" t="inlineStr">
        <is>
          <t>Schedule a visit</t>
        </is>
      </c>
      <c r="D17" s="8" t="inlineStr">
        <is>
          <t>On a property, book a visit date and time.</t>
        </is>
      </c>
      <c r="E17" s="8" t="inlineStr">
        <is>
          <t>Visit is booked and shown in your Dashboard.</t>
        </is>
      </c>
      <c r="F17" s="10" t="inlineStr">
        <is>
          <t>Open</t>
        </is>
      </c>
      <c r="G17" s="10" t="inlineStr">
        <is>
          <t>Help</t>
        </is>
      </c>
      <c r="H17" s="11" t="inlineStr">
        <is>
          <t>Pass</t>
        </is>
      </c>
      <c r="I17" s="8" t="inlineStr">
        <is>
          <t>QA 2026-10-15 (by hand, agent-driven Chromium): visit booked from a sale listing at 390x844 shows in the buyer's Dashboard &gt; Visits and the owner's Requests &gt; Visits (1366x768). Uses 1 owner contact note shown on the sheet.</t>
        </is>
      </c>
      <c r="J17" s="8" t="inlineStr">
        <is>
          <t>Buyer, Tenant, Owner</t>
        </is>
      </c>
      <c r="K17" s="8" t="inlineStr">
        <is>
          <t>High</t>
        </is>
      </c>
      <c r="L17" s="8" t="inlineStr">
        <is>
          <t>QA-B32</t>
        </is>
      </c>
      <c r="M17" s="8" t="inlineStr">
        <is>
          <t>Both</t>
        </is>
      </c>
      <c r="N17" s="8" t="inlineStr">
        <is>
          <t>Manual</t>
        </is>
      </c>
    </row>
    <row r="18">
      <c r="A18" s="8" t="n">
        <v>17</v>
      </c>
      <c r="B18" s="8" t="inlineStr">
        <is>
          <t>Tenant / Buyer</t>
        </is>
      </c>
      <c r="C18" s="9" t="inlineStr">
        <is>
          <t>Tenant profile</t>
        </is>
      </c>
      <c r="D18" s="8" t="inlineStr">
        <is>
          <t>Fill in your tenant profile and save.</t>
        </is>
      </c>
      <c r="E18" s="8" t="inlineStr">
        <is>
          <t>Profile is saved and shows as complete.</t>
        </is>
      </c>
      <c r="F18" s="10" t="inlineStr">
        <is>
          <t>Open</t>
        </is>
      </c>
      <c r="G18" s="10" t="inlineStr">
        <is>
          <t>Help</t>
        </is>
      </c>
      <c r="H18" s="11" t="inlineStr">
        <is>
          <t>Not tested</t>
        </is>
      </c>
      <c r="I18" s="8" t="inlineStr">
        <is>
          <t>RETEST: fixed in code + e2e on 2026-10-15 (QA-B37; QA-B38). Previous result: Fail. QA 2026-10-15 (by hand, agent-driven Chromium 390x844, new tenant 9609932619): empty Save says "Please enter your name."; letters in income are ignored; past move-in days are greyed out; one Save tap = one request. Saving with "Who will live here?" = Family or Bachelor (Male) FAILS: toast "occupants must be one of: family, bachelor_male, …" and nothing is saved (QA-B37). Steps: fill name/occupation/income &gt; pick Family &gt; Save profile. Expected: "Profile saved". Actual: 400 error toast. Env: Chromium 390x844, tenant role. Evidence: network log + mt05-p390-tenant-profile-saved.png. With that field left empty: "Profile saved" and all values still there after refresh. Very long intro gives a vague error (QA-B38). Desktop not repeated.</t>
        </is>
      </c>
      <c r="J18" s="8" t="inlineStr">
        <is>
          <t>Tenant</t>
        </is>
      </c>
      <c r="K18" s="8" t="inlineStr">
        <is>
          <t>High</t>
        </is>
      </c>
      <c r="L18" s="8" t="inlineStr">
        <is>
          <t>QA-B37; QA-B38</t>
        </is>
      </c>
      <c r="M18" s="8" t="inlineStr">
        <is>
          <t>Phone</t>
        </is>
      </c>
      <c r="N18" s="8" t="inlineStr">
        <is>
          <t>Manual</t>
        </is>
      </c>
    </row>
    <row r="19">
      <c r="A19" s="8" t="n">
        <v>18</v>
      </c>
      <c r="B19" s="8" t="inlineStr">
        <is>
          <t>Tenant / Buyer</t>
        </is>
      </c>
      <c r="C19" s="9" t="inlineStr">
        <is>
          <t>Report a listing</t>
        </is>
      </c>
      <c r="D19" s="8" t="inlineStr">
        <is>
          <t>On a property, use Report and choose a reason.</t>
        </is>
      </c>
      <c r="E19" s="8" t="inlineStr">
        <is>
          <t>Report is submitted with a confirmation.</t>
        </is>
      </c>
      <c r="F19" s="10" t="inlineStr">
        <is>
          <t>Open</t>
        </is>
      </c>
      <c r="G19" s="10" t="inlineStr">
        <is>
          <t>Help</t>
        </is>
      </c>
      <c r="H19" s="11" t="inlineStr">
        <is>
          <t>Pass</t>
        </is>
      </c>
      <c r="I19" s="8" t="inlineStr">
        <is>
          <t>QA 2026-10-14 (by hand, agent-driven): Buyer reports a listing: Pass - Diya 390x844 on p5130. Toasts "Thanks — our team will review this listing." then "You have already reported this…". || Earlier: QA 2026-10-12: 5 automated browser checks passed (1 test file); 2 direct server checks passed.</t>
        </is>
      </c>
      <c r="J19" s="8" t="inlineStr">
        <is>
          <t>Buyer, Tenant</t>
        </is>
      </c>
      <c r="K19" s="8" t="inlineStr">
        <is>
          <t>High</t>
        </is>
      </c>
      <c r="L19" s="8" t="n"/>
      <c r="M19" s="8" t="inlineStr">
        <is>
          <t>Phone</t>
        </is>
      </c>
      <c r="N19" s="8" t="inlineStr">
        <is>
          <t>Both</t>
        </is>
      </c>
    </row>
    <row r="20">
      <c r="A20" s="12" t="n">
        <v>19</v>
      </c>
      <c r="B20" s="12" t="inlineStr">
        <is>
          <t>Flatmates</t>
        </is>
      </c>
      <c r="C20" s="13" t="inlineStr">
        <is>
          <t>Find flatmates / rooms</t>
        </is>
      </c>
      <c r="D20" s="12" t="inlineStr">
        <is>
          <t>Browse flatmates and rooms; open one.</t>
        </is>
      </c>
      <c r="E20" s="12" t="inlineStr">
        <is>
          <t>List and details load; contact option works.</t>
        </is>
      </c>
      <c r="F20" s="14" t="inlineStr">
        <is>
          <t>Open</t>
        </is>
      </c>
      <c r="G20" s="14" t="inlineStr">
        <is>
          <t>Help</t>
        </is>
      </c>
      <c r="H20" s="11" t="inlineStr">
        <is>
          <t>Pass</t>
        </is>
      </c>
      <c r="I20" s="12" t="inlineStr">
        <is>
          <t>QA 2026-10-14 (by hand, agent-driven): Browsed rooms and seekers at 390x844 and 360x640, filters narrowed 12 -&gt; 2, room page hides numbers. Desktop feed seen at 1366 only in passing. || Earlier: QA 2026-10-12: 28 automated browser checks passed (5 test files); 2 direct server checks passed.</t>
        </is>
      </c>
      <c r="J20" s="12" t="inlineStr">
        <is>
          <t>Guest, Flatmate seeker</t>
        </is>
      </c>
      <c r="K20" s="12" t="inlineStr">
        <is>
          <t>High</t>
        </is>
      </c>
      <c r="L20" s="12" t="n"/>
      <c r="M20" s="12" t="inlineStr">
        <is>
          <t>Phone</t>
        </is>
      </c>
      <c r="N20" s="12" t="inlineStr">
        <is>
          <t>Both</t>
        </is>
      </c>
    </row>
    <row r="21">
      <c r="A21" s="12" t="n">
        <v>20</v>
      </c>
      <c r="B21" s="12" t="inlineStr">
        <is>
          <t>Flatmates</t>
        </is>
      </c>
      <c r="C21" s="13" t="inlineStr">
        <is>
          <t>Post a room / profile</t>
        </is>
      </c>
      <c r="D21" s="12" t="inlineStr">
        <is>
          <t>Post a room or a 'looking for flatmate' profile.</t>
        </is>
      </c>
      <c r="E21" s="12" t="inlineStr">
        <is>
          <t>Post is created and visible in My Listings.</t>
        </is>
      </c>
      <c r="F21" s="14" t="inlineStr">
        <is>
          <t>Open</t>
        </is>
      </c>
      <c r="G21" s="14" t="inlineStr">
        <is>
          <t>Help</t>
        </is>
      </c>
      <c r="H21" s="11" t="inlineStr">
        <is>
          <t>Pass</t>
        </is>
      </c>
      <c r="I21" s="12" t="inlineStr">
        <is>
          <t>QA 2026-10-15 (by hand, agent-driven Chromium). Room: new lister at 390x844 via + &gt; "A room in my place" &gt; wizard (owner, 2 BHK, double sharing, Baner, ₹12,500, 9 photos) &gt; Post (double tap = one room) -&gt; "Flatmate Listing Posted!", shows in Dashboard &gt; My Properties as "Flatmate · Under review". Seeker request: 1366x768 Post &gt; Just me &gt; form -&gt; live at once, shows in My Properties as "Flatmate request · Live". Photo upload failure case QA-B48.</t>
        </is>
      </c>
      <c r="J21" s="12" t="inlineStr">
        <is>
          <t>Flatmate lister, Flatmate seeker</t>
        </is>
      </c>
      <c r="K21" s="12" t="inlineStr">
        <is>
          <t>High</t>
        </is>
      </c>
      <c r="L21" s="12" t="inlineStr">
        <is>
          <t>QA-B48</t>
        </is>
      </c>
      <c r="M21" s="12" t="inlineStr">
        <is>
          <t>Both</t>
        </is>
      </c>
      <c r="N21" s="12" t="inlineStr">
        <is>
          <t>Manual</t>
        </is>
      </c>
    </row>
    <row r="22">
      <c r="A22" s="8" t="n">
        <v>21</v>
      </c>
      <c r="B22" s="8" t="inlineStr">
        <is>
          <t>Owner</t>
        </is>
      </c>
      <c r="C22" s="9" t="inlineStr">
        <is>
          <t>Post a property</t>
        </is>
      </c>
      <c r="D22" s="8" t="inlineStr">
        <is>
          <t>Tap 'List property', fill all steps, submit.</t>
        </is>
      </c>
      <c r="E22" s="8" t="inlineStr">
        <is>
          <t>Listing is submitted; shows in Owner Hub as under review/live.</t>
        </is>
      </c>
      <c r="F22" s="10" t="inlineStr">
        <is>
          <t>Open</t>
        </is>
      </c>
      <c r="G22" s="10" t="inlineStr">
        <is>
          <t>Help</t>
        </is>
      </c>
      <c r="H22" s="11" t="inlineStr">
        <is>
          <t>Pass</t>
        </is>
      </c>
      <c r="I22" s="8" t="inlineStr">
        <is>
          <t>QA 2026-10-15 (by hand, agent-driven Chromium) as new owners at 390x844 (Sale) and 1366x768 (Rent): empty Next shows clear errors (Choose Sale or Rent, bedrooms, bathrooms, carpet area 100-20,000); filled Details, Location (locality Wakad, flat no., society, pincode), Price (rent date chips "In 15 days", calendar), Photos &amp; description; Submit Property (double-clicked) made exactly one listing; "Submitted for review" screen with Under review; Dashboard &gt; My Properties shows the listing Under review (Submitted &gt; In review &gt; Live). 0 console errors. NOTE: done with Google Maps switched off; with Maps loaded but over its daily quota the Location step crashes - see QA-B25.</t>
        </is>
      </c>
      <c r="J22" s="8" t="inlineStr">
        <is>
          <t>Owner</t>
        </is>
      </c>
      <c r="K22" s="8" t="inlineStr">
        <is>
          <t>Critical</t>
        </is>
      </c>
      <c r="L22" s="8" t="inlineStr">
        <is>
          <t>QA-B25</t>
        </is>
      </c>
      <c r="M22" s="8" t="inlineStr">
        <is>
          <t>Both</t>
        </is>
      </c>
      <c r="N22" s="8" t="inlineStr">
        <is>
          <t>Both</t>
        </is>
      </c>
    </row>
    <row r="23">
      <c r="A23" s="8" t="n">
        <v>22</v>
      </c>
      <c r="B23" s="8" t="inlineStr">
        <is>
          <t>Owner</t>
        </is>
      </c>
      <c r="C23" s="9" t="inlineStr">
        <is>
          <t>Upload photos</t>
        </is>
      </c>
      <c r="D23" s="8" t="inlineStr">
        <is>
          <t>Add, reorder and delete photos in your listing.</t>
        </is>
      </c>
      <c r="E23" s="8" t="inlineStr">
        <is>
          <t>Photos upload quickly and look correct.</t>
        </is>
      </c>
      <c r="F23" s="10" t="inlineStr">
        <is>
          <t>Open</t>
        </is>
      </c>
      <c r="G23" s="10" t="inlineStr">
        <is>
          <t>Help</t>
        </is>
      </c>
      <c r="H23" s="11" t="inlineStr">
        <is>
          <t>Pass</t>
        </is>
      </c>
      <c r="I23" s="8" t="inlineStr">
        <is>
          <t>QA 2026-10-15 (by hand) at 390x844 and 1366x768: added 4 photos; a text file renamed fake.jpg is refused on its tile ("The file contents do not match a supported format") and is not saved; Set as cover moves a photo first; desktop mouse drag photo 4 -&gt; 1 and keyboard Space/Arrow/Space reorder with spoken "Photo moved to position 1 of 4"; phone press-and-hold drag photo 4 -&gt; 1 works; Remove asks "Remove this photo?" (browser confirm, no undo) then 4 -&gt; 3 photos. Listing saved with 4 photos.</t>
        </is>
      </c>
      <c r="J23" s="8" t="inlineStr">
        <is>
          <t>Owner</t>
        </is>
      </c>
      <c r="K23" s="8" t="inlineStr">
        <is>
          <t>High</t>
        </is>
      </c>
      <c r="L23" s="8" t="n"/>
      <c r="M23" s="8" t="inlineStr">
        <is>
          <t>Both</t>
        </is>
      </c>
      <c r="N23" s="8" t="inlineStr">
        <is>
          <t>Manual</t>
        </is>
      </c>
    </row>
    <row r="24">
      <c r="A24" s="8" t="n">
        <v>23</v>
      </c>
      <c r="B24" s="8" t="inlineStr">
        <is>
          <t>Owner</t>
        </is>
      </c>
      <c r="C24" s="9" t="inlineStr">
        <is>
          <t>Manage my listing</t>
        </is>
      </c>
      <c r="D24" s="8" t="inlineStr">
        <is>
          <t>In Owner Hub: edit price, pause, mark rented/sold.</t>
        </is>
      </c>
      <c r="E24" s="8" t="inlineStr">
        <is>
          <t>Changes save and status updates.</t>
        </is>
      </c>
      <c r="F24" s="10" t="inlineStr">
        <is>
          <t>Open</t>
        </is>
      </c>
      <c r="G24" s="10" t="inlineStr">
        <is>
          <t>Help</t>
        </is>
      </c>
      <c r="H24" s="11" t="inlineStr">
        <is>
          <t>Pass</t>
        </is>
      </c>
      <c r="I24" s="8" t="inlineStr">
        <is>
          <t>QA 2026-10-15 owner 9606617100 at 390: /owner-hub opens Dashboard &gt; My Properties. Pause asks "Buyers will stop seeing it in search" and the card shows "Paused"; listing leaves search; Resume puts it back. Edit &gt; Rent 21,000 -&gt; 22,000 &gt; Submit Property (double-tap) sent ONE save and showed "Listing Updated! ... stays live"; public price now 22,000. Closing a deal as sold/rented was proven on row 85 (sale 96532e9c sold, rent 0d67ed7f rented). Minor: double-tap on Pause shows the confirm twice (second one fails quietly, 409). Direct link to a paused listing still opens.</t>
        </is>
      </c>
      <c r="J24" s="8" t="inlineStr">
        <is>
          <t>Owner</t>
        </is>
      </c>
      <c r="K24" s="8" t="inlineStr">
        <is>
          <t>High</t>
        </is>
      </c>
      <c r="L24" s="8" t="n"/>
      <c r="M24" s="8" t="inlineStr">
        <is>
          <t>Phone</t>
        </is>
      </c>
      <c r="N24" s="8" t="inlineStr">
        <is>
          <t>Manual</t>
        </is>
      </c>
    </row>
    <row r="25">
      <c r="A25" s="8" t="n">
        <v>24</v>
      </c>
      <c r="B25" s="8" t="inlineStr">
        <is>
          <t>Owner</t>
        </is>
      </c>
      <c r="C25" s="9" t="inlineStr">
        <is>
          <t>Leads / enquiries</t>
        </is>
      </c>
      <c r="D25" s="8" t="inlineStr">
        <is>
          <t>Check enquiries received on your listing; reply.</t>
        </is>
      </c>
      <c r="E25" s="8" t="inlineStr">
        <is>
          <t>Enquiries are listed; you can respond.</t>
        </is>
      </c>
      <c r="F25" s="10" t="inlineStr">
        <is>
          <t>Open</t>
        </is>
      </c>
      <c r="G25" s="10" t="inlineStr">
        <is>
          <t>Help</t>
        </is>
      </c>
      <c r="H25" s="11" t="inlineStr">
        <is>
          <t>Pass</t>
        </is>
      </c>
      <c r="I25" s="8" t="inlineStr">
        <is>
          <t>QA 2026-10-14 (by hand, agent-driven): Owner saw number requests and visit requests in Dashboard &gt; Requests at 1366 and accepted them; flatmate host saw and answered requests on a 390 phone. || Earlier: QA 2026-10-12: 2 automated browser checks passed (1 test file); 1 direct server checks passed.</t>
        </is>
      </c>
      <c r="J25" s="8" t="inlineStr">
        <is>
          <t>Owner</t>
        </is>
      </c>
      <c r="K25" s="8" t="inlineStr">
        <is>
          <t>High</t>
        </is>
      </c>
      <c r="L25" s="8" t="n"/>
      <c r="M25" s="8" t="inlineStr">
        <is>
          <t>Both</t>
        </is>
      </c>
      <c r="N25" s="8" t="inlineStr">
        <is>
          <t>Both</t>
        </is>
      </c>
    </row>
    <row r="26">
      <c r="A26" s="8" t="n">
        <v>25</v>
      </c>
      <c r="B26" s="8" t="inlineStr">
        <is>
          <t>Owner</t>
        </is>
      </c>
      <c r="C26" s="9" t="inlineStr">
        <is>
          <t>Verify identity / badge</t>
        </is>
      </c>
      <c r="D26" s="8" t="inlineStr">
        <is>
          <t>Start identity (KYC) verification from your profile.</t>
        </is>
      </c>
      <c r="E26" s="8" t="inlineStr">
        <is>
          <t>Steps are clear; status shows as pending/verified.</t>
        </is>
      </c>
      <c r="F26" s="10" t="inlineStr">
        <is>
          <t>Open</t>
        </is>
      </c>
      <c r="G26" s="10" t="inlineStr">
        <is>
          <t>Help</t>
        </is>
      </c>
      <c r="H26" s="11" t="inlineStr">
        <is>
          <t>Blocked</t>
        </is>
      </c>
      <c r="I26" s="8" t="inlineStr">
        <is>
          <t>QA 2026-10-14 (by hand, agent-driven): Desktop shows a QR code to continue on a phone (Pass). Phone flow at 390x844 with a fake camera reaches the selfie step, which needs a real face - Blocked (SB-11). Staff side passed (rows 107-109). || Earlier: QA 2026-10-12: 20 automated browser checks passed (4 test files). Real WhatsApp notice not sent (test provider).</t>
        </is>
      </c>
      <c r="J26" s="8" t="inlineStr">
        <is>
          <t>Owner, Buyer, Tenant</t>
        </is>
      </c>
      <c r="K26" s="8" t="inlineStr">
        <is>
          <t>High</t>
        </is>
      </c>
      <c r="L26" s="8" t="inlineStr">
        <is>
          <t>SB-11</t>
        </is>
      </c>
      <c r="M26" s="8" t="inlineStr">
        <is>
          <t>Both</t>
        </is>
      </c>
      <c r="N26" s="8" t="inlineStr">
        <is>
          <t>Both</t>
        </is>
      </c>
    </row>
    <row r="27">
      <c r="A27" s="12" t="n">
        <v>26</v>
      </c>
      <c r="B27" s="12" t="inlineStr">
        <is>
          <t>Payments</t>
        </is>
      </c>
      <c r="C27" s="13" t="inlineStr">
        <is>
          <t>Plans &amp; checkout</t>
        </is>
      </c>
      <c r="D27" s="12" t="inlineStr">
        <is>
          <t>Open Plans, pick one, go to checkout. DO NOT pay unless asked.</t>
        </is>
      </c>
      <c r="E27" s="12" t="inlineStr">
        <is>
          <t>Plan details and price are clear; checkout page opens.</t>
        </is>
      </c>
      <c r="F27" s="14" t="inlineStr">
        <is>
          <t>Open</t>
        </is>
      </c>
      <c r="G27" s="14" t="inlineStr">
        <is>
          <t>Help</t>
        </is>
      </c>
      <c r="H27" s="11" t="inlineStr">
        <is>
          <t>Pass</t>
        </is>
      </c>
      <c r="I27" s="12" t="inlineStr">
        <is>
          <t>QA 2026-10-15 by hand at 390x844 (buyer): /plans &gt; Get a Contact Pack opened /checkout?plan=contact-pack with order summary, Rs 199 and UPI/Card/Netbanking choices. Mock provider; no real payment. Evidence mt13-*.png</t>
        </is>
      </c>
      <c r="J27" s="12" t="inlineStr">
        <is>
          <t>Buyer, Tenant, Owner</t>
        </is>
      </c>
      <c r="K27" s="12" t="inlineStr">
        <is>
          <t>Critical</t>
        </is>
      </c>
      <c r="L27" s="12" t="n"/>
      <c r="M27" s="12" t="inlineStr">
        <is>
          <t>Phone</t>
        </is>
      </c>
      <c r="N27" s="12" t="inlineStr">
        <is>
          <t>Manual</t>
        </is>
      </c>
    </row>
    <row r="28">
      <c r="A28" s="12" t="n">
        <v>27</v>
      </c>
      <c r="B28" s="12" t="inlineStr">
        <is>
          <t>Payments</t>
        </is>
      </c>
      <c r="C28" s="13" t="inlineStr">
        <is>
          <t>Pay rent</t>
        </is>
      </c>
      <c r="D28" s="12" t="inlineStr">
        <is>
          <t>Open Pay Rent.</t>
        </is>
      </c>
      <c r="E28" s="12" t="inlineStr">
        <is>
          <t>A clear 'Coming soon' page shows. Nothing breaks.</t>
        </is>
      </c>
      <c r="F28" s="14" t="inlineStr">
        <is>
          <t>Open</t>
        </is>
      </c>
      <c r="G28" s="14" t="inlineStr">
        <is>
          <t>Help</t>
        </is>
      </c>
      <c r="H28" s="11" t="inlineStr">
        <is>
          <t>Pass</t>
        </is>
      </c>
      <c r="I28" s="12" t="inlineStr">
        <is>
          <t>QA 2026-10-15 at 390: /pay-rent shows "Coming soon"; no payment request is sent (same as row 93). Real rent payment cannot be tested until it ships.</t>
        </is>
      </c>
      <c r="J28" s="12" t="inlineStr">
        <is>
          <t>Tenant</t>
        </is>
      </c>
      <c r="K28" s="12" t="inlineStr">
        <is>
          <t>Low</t>
        </is>
      </c>
      <c r="L28" s="12" t="n"/>
      <c r="M28" s="12" t="inlineStr">
        <is>
          <t>Phone</t>
        </is>
      </c>
      <c r="N28" s="12" t="inlineStr">
        <is>
          <t>Manual</t>
        </is>
      </c>
    </row>
    <row r="29">
      <c r="A29" s="12" t="n">
        <v>28</v>
      </c>
      <c r="B29" s="12" t="inlineStr">
        <is>
          <t>Payments</t>
        </is>
      </c>
      <c r="C29" s="13" t="inlineStr">
        <is>
          <t>Refer &amp; earn</t>
        </is>
      </c>
      <c r="D29" s="12" t="inlineStr">
        <is>
          <t>Open Refer, copy / share your referral link.</t>
        </is>
      </c>
      <c r="E29" s="12" t="inlineStr">
        <is>
          <t>Link copies / shares correctly.</t>
        </is>
      </c>
      <c r="F29" s="14" t="inlineStr">
        <is>
          <t>Open</t>
        </is>
      </c>
      <c r="G29" s="14" t="inlineStr">
        <is>
          <t>Help</t>
        </is>
      </c>
      <c r="H29" s="11" t="inlineStr">
        <is>
          <t>Pass</t>
        </is>
      </c>
      <c r="I29" s="12" t="inlineStr">
        <is>
          <t>QA 2026-10-15 at 390: /refer Copy code gives PUNE-K7L7 and the button reads "Copied!"; Copy link copies the signup link with ?ref=; WhatsApp opens wa.me with code and link.</t>
        </is>
      </c>
      <c r="J29" s="12" t="inlineStr">
        <is>
          <t>All signed-in</t>
        </is>
      </c>
      <c r="K29" s="12" t="inlineStr">
        <is>
          <t>Low</t>
        </is>
      </c>
      <c r="L29" s="12" t="n"/>
      <c r="M29" s="12" t="inlineStr">
        <is>
          <t>Phone</t>
        </is>
      </c>
      <c r="N29" s="12" t="inlineStr">
        <is>
          <t>Manual</t>
        </is>
      </c>
    </row>
    <row r="30">
      <c r="A30" s="8" t="n">
        <v>29</v>
      </c>
      <c r="B30" s="8" t="inlineStr">
        <is>
          <t>Services</t>
        </is>
      </c>
      <c r="C30" s="9" t="inlineStr">
        <is>
          <t>Rent agreement</t>
        </is>
      </c>
      <c r="D30" s="8" t="inlineStr">
        <is>
          <t>Open Rent Agreement, fill the request form.</t>
        </is>
      </c>
      <c r="E30" s="8" t="inlineStr">
        <is>
          <t>Request is submitted with a confirmation.</t>
        </is>
      </c>
      <c r="F30" s="10" t="inlineStr">
        <is>
          <t>Open</t>
        </is>
      </c>
      <c r="G30" s="10" t="inlineStr">
        <is>
          <t>Help</t>
        </is>
      </c>
      <c r="H30" s="11" t="inlineStr">
        <is>
          <t>Pass</t>
        </is>
      </c>
      <c r="I30" s="8" t="inlineStr">
        <is>
          <t>QA 2026-10-15: owner at 390 filled the Rent Agreement form and invited the tenant: one request created (awaiting payment) with a clear next step; tenant at 1366 completed their part. The paid drafting step is Blocked (see row 91, no Cashfree sandbox). Copy issue QA-B40.</t>
        </is>
      </c>
      <c r="J30" s="8" t="inlineStr">
        <is>
          <t>Owner, Tenant</t>
        </is>
      </c>
      <c r="K30" s="8" t="inlineStr">
        <is>
          <t>High</t>
        </is>
      </c>
      <c r="L30" s="8" t="n"/>
      <c r="M30" s="8" t="inlineStr">
        <is>
          <t>Both</t>
        </is>
      </c>
      <c r="N30" s="8" t="inlineStr">
        <is>
          <t>Manual</t>
        </is>
      </c>
    </row>
    <row r="31">
      <c r="A31" s="8" t="n">
        <v>30</v>
      </c>
      <c r="B31" s="8" t="inlineStr">
        <is>
          <t>Services</t>
        </is>
      </c>
      <c r="C31" s="9" t="inlineStr">
        <is>
          <t>Packers &amp; movers</t>
        </is>
      </c>
      <c r="D31" s="8" t="inlineStr">
        <is>
          <t>Request a moving quote.</t>
        </is>
      </c>
      <c r="E31" s="8" t="inlineStr">
        <is>
          <t>Request is submitted with a confirmation.</t>
        </is>
      </c>
      <c r="F31" s="10" t="inlineStr">
        <is>
          <t>Open</t>
        </is>
      </c>
      <c r="G31" s="10" t="inlineStr">
        <is>
          <t>Help</t>
        </is>
      </c>
      <c r="H31" s="11" t="inlineStr">
        <is>
          <t>Pass</t>
        </is>
      </c>
      <c r="I31" s="8" t="inlineStr">
        <is>
          <t>QA 2026-10-15 at 390 (owner signed in): empty submit says "Please fill: Service Needed"; 5-digit mobile says "Enter a valid 10-digit mobile number."; filled form with double-tap on Request Free Quote made ONE service request + ONE ticket and showed "Request received! Our relocation desk will call you back within 24 hours". Turnstile not shown in dev (see Integrations row). Copy glitch: estimator line shows "?" instead of a dash. Copy defects QA-B52 (stray "?") and QA-B53 (tracker talks about government registration).</t>
        </is>
      </c>
      <c r="J31" s="8" t="inlineStr">
        <is>
          <t>Buyer, Tenant</t>
        </is>
      </c>
      <c r="K31" s="8" t="inlineStr">
        <is>
          <t>Medium</t>
        </is>
      </c>
      <c r="L31" s="8" t="inlineStr">
        <is>
          <t>QA-B52, QA-B53</t>
        </is>
      </c>
      <c r="M31" s="8" t="inlineStr">
        <is>
          <t>Phone</t>
        </is>
      </c>
      <c r="N31" s="8" t="inlineStr">
        <is>
          <t>Manual</t>
        </is>
      </c>
    </row>
    <row r="32">
      <c r="A32" s="8" t="n">
        <v>31</v>
      </c>
      <c r="B32" s="8" t="inlineStr">
        <is>
          <t>Services</t>
        </is>
      </c>
      <c r="C32" s="9" t="inlineStr">
        <is>
          <t>Home loans &amp; legal</t>
        </is>
      </c>
      <c r="D32" s="8" t="inlineStr">
        <is>
          <t>Open Home Loans and Property Legal; submit an enquiry.</t>
        </is>
      </c>
      <c r="E32" s="8" t="inlineStr">
        <is>
          <t>Enquiry is submitted with a confirmation.</t>
        </is>
      </c>
      <c r="F32" s="10" t="inlineStr">
        <is>
          <t>Open</t>
        </is>
      </c>
      <c r="G32" s="10" t="inlineStr">
        <is>
          <t>Help</t>
        </is>
      </c>
      <c r="H32" s="11" t="inlineStr">
        <is>
          <t>Pass</t>
        </is>
      </c>
      <c r="I32" s="8" t="inlineStr">
        <is>
          <t>QA 2026-10-15 at 1366 (seeker): Home Loans - empty submit "Please fill: Loan Type", letters in amount fields ignored, double-click made ONE ticket and showed "Request received! Our team will call you back within 24 hours". Property &amp; Legal - empty submit "Please fill: Service Needed", double-click made ONE request + ticket, "Request received!" card and the request appears under "Your legal &amp; registration requests". Evidence mt14-d1366-*.png</t>
        </is>
      </c>
      <c r="J32" s="8" t="inlineStr">
        <is>
          <t>Buyer</t>
        </is>
      </c>
      <c r="K32" s="8" t="inlineStr">
        <is>
          <t>Medium</t>
        </is>
      </c>
      <c r="L32" s="8" t="n"/>
      <c r="M32" s="8" t="inlineStr">
        <is>
          <t>Desktop</t>
        </is>
      </c>
      <c r="N32" s="8" t="inlineStr">
        <is>
          <t>Manual</t>
        </is>
      </c>
    </row>
    <row r="33">
      <c r="A33" s="8" t="n">
        <v>32</v>
      </c>
      <c r="B33" s="8" t="inlineStr">
        <is>
          <t>Services</t>
        </is>
      </c>
      <c r="C33" s="9" t="inlineStr">
        <is>
          <t>Interior &amp; valuation</t>
        </is>
      </c>
      <c r="D33" s="8" t="inlineStr">
        <is>
          <t>Open Interior and Property Valuation; submit a request.</t>
        </is>
      </c>
      <c r="E33" s="8" t="inlineStr">
        <is>
          <t>Request is submitted with a confirmation.</t>
        </is>
      </c>
      <c r="F33" s="10" t="inlineStr">
        <is>
          <t>Open</t>
        </is>
      </c>
      <c r="G33" s="10" t="inlineStr">
        <is>
          <t>Help</t>
        </is>
      </c>
      <c r="H33" s="11" t="inlineStr">
        <is>
          <t>Pass</t>
        </is>
      </c>
      <c r="I33" s="8" t="inlineStr">
        <is>
          <t>QA 2026-10-15: Interior at 390 - empty submit "Please choose a scope."; filled + double-tap on Book My Consultation made ONE request and showed "Consultation booked! Our designer will call you back within 24 hours". Valuation at 1366 - empty submit "Please choose a purpose."; double-click made ONE request, "Request received! Our certified valuer will call you back". No sideways scroll. Evidence mt14-*.png</t>
        </is>
      </c>
      <c r="J33" s="8" t="inlineStr">
        <is>
          <t>Owner, Buyer</t>
        </is>
      </c>
      <c r="K33" s="8" t="inlineStr">
        <is>
          <t>Medium</t>
        </is>
      </c>
      <c r="L33" s="8" t="n"/>
      <c r="M33" s="8" t="inlineStr">
        <is>
          <t>Both</t>
        </is>
      </c>
      <c r="N33" s="8" t="inlineStr">
        <is>
          <t>Manual</t>
        </is>
      </c>
    </row>
    <row r="34">
      <c r="A34" s="12" t="n">
        <v>33</v>
      </c>
      <c r="B34" s="12" t="inlineStr">
        <is>
          <t>Tools</t>
        </is>
      </c>
      <c r="C34" s="13" t="inlineStr">
        <is>
          <t>Free tools &amp; EMI calculator</t>
        </is>
      </c>
      <c r="D34" s="12" t="inlineStr">
        <is>
          <t>Try EMI calculator, rent receipt, stamp duty, rental yield.</t>
        </is>
      </c>
      <c r="E34" s="12" t="inlineStr">
        <is>
          <t>Numbers calculate correctly; receipt downloads.</t>
        </is>
      </c>
      <c r="F34" s="14" t="inlineStr">
        <is>
          <t>Open</t>
        </is>
      </c>
      <c r="G34" s="14" t="inlineStr">
        <is>
          <t>Help</t>
        </is>
      </c>
      <c r="H34" s="11" t="inlineStr">
        <is>
          <t>Pass</t>
        </is>
      </c>
      <c r="I34" s="12" t="inlineStr">
        <is>
          <t>QA 2026-10-15 guest at 390 and 1366, no sideways scroll. EMI: Rs 80 L, 8.5%, 20 yrs = Rs 69,426/mo (checked by hand); slider moves with arrow keys; interest typed as 0/-5/abc snaps to 5%, 99 snaps to 15% without a message (minor). Stamp duty: Rs 75 L -&gt; 7% Rs 5,25,000 + registration Rs 30,000 cap = Rs 5,55,000 (correct). Rental yield: gross 4.00%, net 3.27%, payback 30.6 yrs (correct). Rent receipt: Print button disabled until required fields filled; bad PAN shows "A PAN has 5 letters, 4 digits and 1 letter"; valid form opens the print/save-as-PDF dialog once. Evidence mt15-*.png</t>
        </is>
      </c>
      <c r="J34" s="12" t="inlineStr">
        <is>
          <t>Guest</t>
        </is>
      </c>
      <c r="K34" s="12" t="inlineStr">
        <is>
          <t>Low</t>
        </is>
      </c>
      <c r="L34" s="12" t="n"/>
      <c r="M34" s="12" t="inlineStr">
        <is>
          <t>Both</t>
        </is>
      </c>
      <c r="N34" s="12" t="inlineStr">
        <is>
          <t>Manual</t>
        </is>
      </c>
    </row>
    <row r="35">
      <c r="A35" s="8" t="n">
        <v>34</v>
      </c>
      <c r="B35" s="8" t="inlineStr">
        <is>
          <t>Help</t>
        </is>
      </c>
      <c r="C35" s="9" t="inlineStr">
        <is>
          <t>Help Center</t>
        </is>
      </c>
      <c r="D35" s="8" t="inlineStr">
        <is>
          <t>Search help for a topic, open an article, rate it.</t>
        </is>
      </c>
      <c r="E35" s="8" t="inlineStr">
        <is>
          <t>Relevant articles show and open.</t>
        </is>
      </c>
      <c r="F35" s="10" t="inlineStr">
        <is>
          <t>Open</t>
        </is>
      </c>
      <c r="G35" s="10" t="inlineStr">
        <is>
          <t>Help</t>
        </is>
      </c>
      <c r="H35" s="11" t="inlineStr">
        <is>
          <t>Pass</t>
        </is>
      </c>
      <c r="I35" s="8" t="inlineStr">
        <is>
          <t>QA 2026-10-15 guest at 390: /help search "refund" shows suggestions while typing, Enter opens /help/search?q=refund with 10 relevant articles; HTML in the search text shows as plain text with "0 articles / Try a broader word"; article opens; "Yes" saves one rating and shows "Thanks - that helps". Double-tap on Yes opens Support by accident (QA-B54). No sideways scroll.</t>
        </is>
      </c>
      <c r="J35" s="8" t="inlineStr">
        <is>
          <t>Guest</t>
        </is>
      </c>
      <c r="K35" s="8" t="inlineStr">
        <is>
          <t>Low</t>
        </is>
      </c>
      <c r="L35" s="8" t="inlineStr">
        <is>
          <t>QA-B54</t>
        </is>
      </c>
      <c r="M35" s="8" t="inlineStr">
        <is>
          <t>Phone</t>
        </is>
      </c>
      <c r="N35" s="8" t="inlineStr">
        <is>
          <t>Manual</t>
        </is>
      </c>
    </row>
    <row r="36">
      <c r="A36" s="8" t="n">
        <v>35</v>
      </c>
      <c r="B36" s="8" t="inlineStr">
        <is>
          <t>Help</t>
        </is>
      </c>
      <c r="C36" s="9" t="inlineStr">
        <is>
          <t>Contact support</t>
        </is>
      </c>
      <c r="D36" s="8" t="inlineStr">
        <is>
          <t>Raise a support ticket from Support / Contact.</t>
        </is>
      </c>
      <c r="E36" s="8" t="inlineStr">
        <is>
          <t>Ticket is created and visible in Support.</t>
        </is>
      </c>
      <c r="F36" s="10" t="inlineStr">
        <is>
          <t>Open</t>
        </is>
      </c>
      <c r="G36" s="10" t="inlineStr">
        <is>
          <t>Help</t>
        </is>
      </c>
      <c r="H36" s="11" t="inlineStr">
        <is>
          <t>Pass</t>
        </is>
      </c>
      <c r="I36" s="8" t="inlineStr">
        <is>
          <t>QA 2026-10-15 buyer 9614558036 at 390 and 1366: empty Submit shows "Subject must be at least 4 characters."; one tap creates the ticket, toast "Ticket &lt;id&gt; raised - we'll reply shortly." and it opens in "Your tickets" with Open status; HTML in subject/body shows as plain text. Defects: double-click makes 2 tickets (QA-B55); &gt;4,000-char description gives a generic error (QA-B56); toast shows the raw ticket ID.</t>
        </is>
      </c>
      <c r="J36" s="8" t="inlineStr">
        <is>
          <t>All signed-in</t>
        </is>
      </c>
      <c r="K36" s="8" t="inlineStr">
        <is>
          <t>High</t>
        </is>
      </c>
      <c r="L36" s="8" t="inlineStr">
        <is>
          <t>QA-B55; QA-B56</t>
        </is>
      </c>
      <c r="M36" s="8" t="inlineStr">
        <is>
          <t>Both</t>
        </is>
      </c>
      <c r="N36" s="8" t="inlineStr">
        <is>
          <t>Manual</t>
        </is>
      </c>
    </row>
    <row r="37">
      <c r="A37" s="8" t="n">
        <v>36</v>
      </c>
      <c r="B37" s="8" t="inlineStr">
        <is>
          <t>Help</t>
        </is>
      </c>
      <c r="C37" s="9" t="inlineStr">
        <is>
          <t>Privacy &amp; my data</t>
        </is>
      </c>
      <c r="D37" s="8" t="inlineStr">
        <is>
          <t>Check privacy options in your account.</t>
        </is>
      </c>
      <c r="E37" s="8" t="inlineStr">
        <is>
          <t>Options are clear and work.</t>
        </is>
      </c>
      <c r="F37" s="10" t="inlineStr">
        <is>
          <t>Open</t>
        </is>
      </c>
      <c r="G37" s="10" t="inlineStr">
        <is>
          <t>Help</t>
        </is>
      </c>
      <c r="H37" s="11" t="inlineStr">
        <is>
          <t>Pass</t>
        </is>
      </c>
      <c r="I37" s="8" t="inlineStr">
        <is>
          <t>QA 2026-10-14 (by hand, agent-driven): Download my data gave only the signed-in tenant's data; erasure request needs "erase" typed before Submit, then shows Under review (390x844). || Earlier: QA 2026-10-12: 9 automated browser checks passed (2 test files); 2 direct server checks passed.</t>
        </is>
      </c>
      <c r="J37" s="8" t="inlineStr">
        <is>
          <t>All signed-in</t>
        </is>
      </c>
      <c r="K37" s="8" t="inlineStr">
        <is>
          <t>High</t>
        </is>
      </c>
      <c r="L37" s="8" t="n"/>
      <c r="M37" s="8" t="inlineStr">
        <is>
          <t>Phone</t>
        </is>
      </c>
      <c r="N37" s="8" t="inlineStr">
        <is>
          <t>Both</t>
        </is>
      </c>
    </row>
    <row r="38">
      <c r="A38" s="12" t="n">
        <v>37</v>
      </c>
      <c r="B38" s="12" t="inlineStr">
        <is>
          <t>General</t>
        </is>
      </c>
      <c r="C38" s="13" t="inlineStr">
        <is>
          <t>Use on mobile phone</t>
        </is>
      </c>
      <c r="D38" s="12" t="inlineStr">
        <is>
          <t>Use the site on your phone: menus, bottom bar, back button.</t>
        </is>
      </c>
      <c r="E38" s="12" t="inlineStr">
        <is>
          <t>Nothing is cut off; easy to tap; back works.</t>
        </is>
      </c>
      <c r="F38" s="14" t="inlineStr">
        <is>
          <t>Open</t>
        </is>
      </c>
      <c r="G38" s="14" t="inlineStr">
        <is>
          <t>Help</t>
        </is>
      </c>
      <c r="H38" s="11" t="inlineStr">
        <is>
          <t>Not tested</t>
        </is>
      </c>
      <c r="I38" s="12" t="inlineStr">
        <is>
          <t>RETEST: fixed in code + e2e on 2026-10-15 (QA-B04, QA-B01, QA-B22). Previous result: Fail. QA 2026-10-14 (by hand, agent-driven): QA-B04 (Medium). Steps: At 360x640/390x844 sign in, open the account menu; or open a property and tap Contact Owner or Visit Expected: While the account menu (a modal drawer) is open, the page behind and its floating buttons are covered by the dim overlay. Actual: The Ask Draaz button stays above the account drawer (covers Profile &amp; Settings / Plan &amp; Billing rows in landscape), the "Contact the owner" sheet (covers the right edge of the Verify identity hint and quick-message box) and the "Schedule a Visit" sheet (covers the message box). The user can still tap around it but text and fields are hidden. Environment: Chromium 360x640 (portrait and landscape) and 390x844, Owner and Buyer. Evidence: consumer-shell acct-open shots; click-all-chromium-390x844-9152892152-24/25 dialog shots; also covers the Report this listing sheet (390x844, steps-chromium-390x844-9152892152-05-step5.png); also /messages at 1366x768: Ask Draaz button sits on the Send button of the chat box (look-chromium-1366x768-9700000031-01-look__messages_*.png). Enter still sends. | QA-B01 (Low). Steps: Fresh visit (no consent saved) -&gt; Home -&gt; cookie banner -&gt; Customize. Phone 640x360 landscape (also 360x640 portrait). Expected: Whole panel visible or scrollable; title and Privacy Policy link reachable. Actual: Panel is bottom-anchored with overflow hidden and no max-height: at 640x360 the top 61px (title "Your privacy choices" + Privacy Policy link) is above the screen and cannot be scrolled to; at 360x640 the top 15px (icon) is clipped. Switches and buttons remain usable. Environment: Chromium 148 (VS Code browser), Guest, 640x360 and 360x640. Evidence: Manual; panel rect top=-61px h=349px at 640x360, top=-15px at 360x640 | QA-B22 (Low). Steps: Sign in as an owner who also rents (9700000002); open /dashboard on a 360x640 phone; read the section tabs. Expected: Every tab label (Home, Requests, My Properties, Rental, Account) is fully readable. Actual: "My Properties" is cut to "My Propertie"; the 61px tab is too narrow. Environment: Chromium (Playwright, agent-driven) 360x640, Owner+Tenant, local lane 2. Evidence: dash-nav-chromium-360x640-9700000002-01-dash.png; tab is 61px wide, label overflows its box. Owner+tenant account 9700000002, Chromium 360x640. || Earlier: QA 2026-10-12: 164 automated browser checks passed (45 test files); 1 direct server checks passed. Checked on a Pixel 7-size screen in Chrome only. Real phones and Safari not tested (see General – Browsers).</t>
        </is>
      </c>
      <c r="J38" s="12" t="inlineStr">
        <is>
          <t>All</t>
        </is>
      </c>
      <c r="K38" s="12" t="inlineStr">
        <is>
          <t>High</t>
        </is>
      </c>
      <c r="L38" s="12" t="inlineStr">
        <is>
          <t>QA-B04, QA-B01, QA-B22</t>
        </is>
      </c>
      <c r="M38" s="12" t="inlineStr">
        <is>
          <t>Phone</t>
        </is>
      </c>
      <c r="N38" s="12" t="inlineStr">
        <is>
          <t>Both</t>
        </is>
      </c>
    </row>
    <row r="39">
      <c r="A39" s="12" t="n">
        <v>38</v>
      </c>
      <c r="B39" s="12" t="inlineStr">
        <is>
          <t>General</t>
        </is>
      </c>
      <c r="C39" s="13" t="inlineStr">
        <is>
          <t>Speed &amp; errors</t>
        </is>
      </c>
      <c r="D39" s="12" t="inlineStr">
        <is>
          <t>Note any slow page, blank screen or error message.</t>
        </is>
      </c>
      <c r="E39" s="12" t="inlineStr">
        <is>
          <t>Pages load in a few seconds; no errors.</t>
        </is>
      </c>
      <c r="F39" s="14" t="inlineStr">
        <is>
          <t>Open</t>
        </is>
      </c>
      <c r="G39" s="14" t="inlineStr">
        <is>
          <t>Help</t>
        </is>
      </c>
      <c r="H39" s="11" t="inlineStr">
        <is>
          <t>Pass</t>
        </is>
      </c>
      <c r="I39" s="12" t="inlineStr">
        <is>
          <t>QA 2026-10-14 (by hand, agent-driven): Slow connection (production build): Pass - Heading visible: Home 3.8 s, property 3.9 s, Flatmates 11.4 s (skeleton at 6.8 s). Full load 8-11 s. Measured on vite preview build with service worker bypassed; dev server is not representative (205 s). || Earlier: QA 2026-10-12: 18 automated browser checks passed (3 test files); 3 direct server checks passed. Slow 3G: first content in about 4.2–4.6 s (production build).</t>
        </is>
      </c>
      <c r="J39" s="12" t="inlineStr">
        <is>
          <t>All</t>
        </is>
      </c>
      <c r="K39" s="12" t="inlineStr">
        <is>
          <t>High</t>
        </is>
      </c>
      <c r="L39" s="12" t="n"/>
      <c r="M39" s="12" t="inlineStr">
        <is>
          <t>Phone</t>
        </is>
      </c>
      <c r="N39" s="12" t="inlineStr">
        <is>
          <t>Both</t>
        </is>
      </c>
    </row>
    <row r="40">
      <c r="A40" s="8" t="n">
        <v>39</v>
      </c>
      <c r="B40" s="8" t="inlineStr">
        <is>
          <t>Role access</t>
        </is>
      </c>
      <c r="C40" s="9" t="inlineStr">
        <is>
          <t>Guest opens private pages</t>
        </is>
      </c>
      <c r="D40" s="8" t="inlineStr">
        <is>
          <t>Log out. Type /dashboard, /messages, /saved and /admin in the address bar.</t>
        </is>
      </c>
      <c r="E40" s="8" t="inlineStr">
        <is>
          <t>You are sent to Sign in. No private data shows, even for a moment.</t>
        </is>
      </c>
      <c r="F40" s="10" t="inlineStr">
        <is>
          <t>Open</t>
        </is>
      </c>
      <c r="G40" s="10" t="n"/>
      <c r="H40" s="11" t="inlineStr">
        <is>
          <t>Pass</t>
        </is>
      </c>
      <c r="I40" s="8" t="inlineStr">
        <is>
          <t>QA 2026-10-14 (by hand, agent-driven): Signed-out visitor is refused on private data: Pass - 2026-10-13 API probe, 8/8 refused 401 || Earlier: QA 2026-10-12: 14 automated browser checks passed (3 test files); 2 direct server checks passed.</t>
        </is>
      </c>
      <c r="J40" s="8" t="inlineStr">
        <is>
          <t>Guest</t>
        </is>
      </c>
      <c r="K40" s="8" t="inlineStr">
        <is>
          <t>Critical</t>
        </is>
      </c>
      <c r="L40" s="8" t="n"/>
      <c r="M40" s="8" t="inlineStr">
        <is>
          <t>Both</t>
        </is>
      </c>
      <c r="N40" s="8" t="inlineStr">
        <is>
          <t>Both</t>
        </is>
      </c>
    </row>
    <row r="41">
      <c r="A41" s="8" t="n">
        <v>40</v>
      </c>
      <c r="B41" s="8" t="inlineStr">
        <is>
          <t>Role access</t>
        </is>
      </c>
      <c r="C41" s="9" t="inlineStr">
        <is>
          <t>Buyer / owner opens the back-office</t>
        </is>
      </c>
      <c r="D41" s="8" t="inlineStr">
        <is>
          <t>Sign in as a buyer or owner. Type /admin and /admin/users in the address bar.</t>
        </is>
      </c>
      <c r="E41" s="8" t="inlineStr">
        <is>
          <t>You are refused or sent back. No staff pages or staff data show.</t>
        </is>
      </c>
      <c r="F41" s="10" t="inlineStr">
        <is>
          <t>Open</t>
        </is>
      </c>
      <c r="G41" s="10" t="n"/>
      <c r="H41" s="11" t="inlineStr">
        <is>
          <t>Pass</t>
        </is>
      </c>
      <c r="I41" s="8" t="inlineStr">
        <is>
          <t>QA 2026-10-14 (by hand, agent-driven): Buyer and owner opening /admin are sent away; every back-office API call returns 403 (20 calls). || Earlier: QA 2026-10-12: 7 automated browser checks passed (2 test files).</t>
        </is>
      </c>
      <c r="J41" s="8" t="inlineStr">
        <is>
          <t>Buyer, Tenant, Owner</t>
        </is>
      </c>
      <c r="K41" s="8" t="inlineStr">
        <is>
          <t>Critical</t>
        </is>
      </c>
      <c r="L41" s="8" t="n"/>
      <c r="M41" s="8" t="inlineStr">
        <is>
          <t>Both</t>
        </is>
      </c>
      <c r="N41" s="8" t="inlineStr">
        <is>
          <t>Both</t>
        </is>
      </c>
    </row>
    <row r="42">
      <c r="A42" s="8" t="n">
        <v>41</v>
      </c>
      <c r="B42" s="8" t="inlineStr">
        <is>
          <t>Role access</t>
        </is>
      </c>
      <c r="C42" s="9" t="inlineStr">
        <is>
          <t>Buyer / owner calls staff functions directly</t>
        </is>
      </c>
      <c r="D42" s="8" t="inlineStr">
        <is>
          <t>With a buyer login, call staff functions directly (API tool): reports queue, flatmate moderation, erasure queue, user suspend.</t>
        </is>
      </c>
      <c r="E42" s="8" t="inlineStr">
        <is>
          <t>The server refuses every one (403). Hiding the button is not enough.</t>
        </is>
      </c>
      <c r="F42" s="10" t="n"/>
      <c r="G42" s="10" t="n"/>
      <c r="H42" s="11" t="inlineStr">
        <is>
          <t>Pass</t>
        </is>
      </c>
      <c r="I42" s="8" t="inlineStr">
        <is>
          <t>QA 2026-10-14 (by hand, agent-driven): Buyer and owner cannot use back-office functions: Pass - 20/20 refused 403 || Earlier: QA 2026-10-12: 4 direct server checks passed. Plus full role matrix over every staff/admin API (role-matrix.json): consumers got 401/403 on all.</t>
        </is>
      </c>
      <c r="J42" s="8" t="inlineStr">
        <is>
          <t>Buyer, Tenant, Owner</t>
        </is>
      </c>
      <c r="K42" s="8" t="inlineStr">
        <is>
          <t>Critical</t>
        </is>
      </c>
      <c r="L42" s="8" t="n"/>
      <c r="M42" s="8" t="inlineStr">
        <is>
          <t>Both</t>
        </is>
      </c>
      <c r="N42" s="8" t="inlineStr">
        <is>
          <t>Manual</t>
        </is>
      </c>
    </row>
    <row r="43">
      <c r="A43" s="8" t="n">
        <v>42</v>
      </c>
      <c r="B43" s="8" t="inlineStr">
        <is>
          <t>Role access</t>
        </is>
      </c>
      <c r="C43" s="9" t="inlineStr">
        <is>
          <t>Staff sees only their own desks</t>
        </is>
      </c>
      <c r="D43" s="8" t="inlineStr">
        <is>
          <t>Sign in as staff of one team. Open another team's desk by URL.</t>
        </is>
      </c>
      <c r="E43" s="8" t="inlineStr">
        <is>
          <t>Only your desks are in the menu. Other desks are refused.</t>
        </is>
      </c>
      <c r="F43" s="10" t="inlineStr">
        <is>
          <t>Open</t>
        </is>
      </c>
      <c r="G43" s="10" t="n"/>
      <c r="H43" s="11" t="inlineStr">
        <is>
          <t>Pass</t>
        </is>
      </c>
      <c r="I43" s="8" t="inlineStr">
        <is>
          <t>QA 2026-10-14 (by hand, agent-driven): Staff menus match their team: Pass - Manager 24 items (no Finance/Erasure/Settings); staff 15 items with only their own service desk. || Earlier: QA 2026-10-12: 26 automated browser checks passed (4 test files).</t>
        </is>
      </c>
      <c r="J43" s="8" t="inlineStr">
        <is>
          <t>Staff</t>
        </is>
      </c>
      <c r="K43" s="8" t="inlineStr">
        <is>
          <t>High</t>
        </is>
      </c>
      <c r="L43" s="8" t="n"/>
      <c r="M43" s="8" t="inlineStr">
        <is>
          <t>Desktop</t>
        </is>
      </c>
      <c r="N43" s="8" t="inlineStr">
        <is>
          <t>Both</t>
        </is>
      </c>
    </row>
    <row r="44">
      <c r="A44" s="8" t="n">
        <v>43</v>
      </c>
      <c r="B44" s="8" t="inlineStr">
        <is>
          <t>Role access</t>
        </is>
      </c>
      <c r="C44" s="9" t="inlineStr">
        <is>
          <t>Staff cannot do admin-only actions</t>
        </is>
      </c>
      <c r="D44" s="8" t="inlineStr">
        <is>
          <t>As staff (not admin) try: suspend a user, open Erasure requests, Team &amp; Access, Settings.</t>
        </is>
      </c>
      <c r="E44" s="8" t="inlineStr">
        <is>
          <t>Each is refused by the server.</t>
        </is>
      </c>
      <c r="F44" s="10" t="inlineStr">
        <is>
          <t>Open</t>
        </is>
      </c>
      <c r="G44" s="10" t="n"/>
      <c r="H44" s="11" t="inlineStr">
        <is>
          <t>Pass</t>
        </is>
      </c>
      <c r="I44" s="8" t="inlineStr">
        <is>
          <t>QA 2026-10-14 (by hand, agent-driven): Staff without the right module cannot use admin-only functions: Pass - 7/7 refused 403. Note: a badly formed "add staff" request is checked for format before permission (422 instead of 403) — no data changes | Direct URL to a page the role cannot open: Pass - Manager -&gt; /admin; staff -&gt; /staff. API refusals covered by the earlier role/IDOR probe. || Earlier: QA 2026-10-12: 5 automated browser checks passed (1 test file); 1 direct server checks passed. Staff suspend attempt refused (403) in role matrix.</t>
        </is>
      </c>
      <c r="J44" s="8" t="inlineStr">
        <is>
          <t>Staff</t>
        </is>
      </c>
      <c r="K44" s="8" t="inlineStr">
        <is>
          <t>Critical</t>
        </is>
      </c>
      <c r="L44" s="8" t="n"/>
      <c r="M44" s="8" t="inlineStr">
        <is>
          <t>Both</t>
        </is>
      </c>
      <c r="N44" s="8" t="inlineStr">
        <is>
          <t>Both</t>
        </is>
      </c>
    </row>
    <row r="45">
      <c r="A45" s="8" t="n">
        <v>44</v>
      </c>
      <c r="B45" s="8" t="inlineStr">
        <is>
          <t>Role access</t>
        </is>
      </c>
      <c r="C45" s="9" t="inlineStr">
        <is>
          <t>Manager can grant a verified badge</t>
        </is>
      </c>
      <c r="D45" s="8" t="inlineStr">
        <is>
          <t>Sign in as a Manager. Open Users, pick a person, grant the Verified badge with a reason, then remove it.</t>
        </is>
      </c>
      <c r="E45" s="8" t="inlineStr">
        <is>
          <t>The badge is granted at once (no second approver), and removed the same way. A normal user cannot do this, even by calling the server directly.</t>
        </is>
      </c>
      <c r="F45" s="10" t="inlineStr">
        <is>
          <t>Open</t>
        </is>
      </c>
      <c r="G45" s="10" t="n"/>
      <c r="H45" s="11" t="inlineStr">
        <is>
          <t>Pass</t>
        </is>
      </c>
      <c r="I45" s="8" t="inlineStr">
        <is>
          <t>QA 2026-10-14 (by hand, agent-driven): Manager granted the Verified badge with a reason in one step on a 390x844 phone; manager cannot suspend users; a buyer calling the same action is refused (403). || Earlier: Retested 2026-10-12 after the fix: a Manager grants and removes the Verified badge in one step, with a reason; a buyer calling the same action directly is refused by the server (403). Env: local build with the fixes, backend tests (JDK 25, PostgreSQL 13) and the automated browser suite (run-fast.ps1 -Full, Chromium), 2026-10-12.</t>
        </is>
      </c>
      <c r="J45" s="8" t="inlineStr">
        <is>
          <t>Manager</t>
        </is>
      </c>
      <c r="K45" s="8" t="inlineStr">
        <is>
          <t>Medium</t>
        </is>
      </c>
      <c r="L45" s="8" t="inlineStr">
        <is>
          <t>QA-07</t>
        </is>
      </c>
      <c r="M45" s="8" t="inlineStr">
        <is>
          <t>Phone</t>
        </is>
      </c>
      <c r="N45" s="8" t="inlineStr">
        <is>
          <t>Both</t>
        </is>
      </c>
    </row>
    <row r="46">
      <c r="A46" s="8" t="n">
        <v>45</v>
      </c>
      <c r="B46" s="8" t="inlineStr">
        <is>
          <t>Role access</t>
        </is>
      </c>
      <c r="C46" s="9" t="inlineStr">
        <is>
          <t>Someone else's records (IDOR)</t>
        </is>
      </c>
      <c r="D46" s="8" t="inlineStr">
        <is>
          <t>Sign in as user B and open user A's chat, ticket, visit, document, listing, saved search, deal and flatmate post using A's links or IDs.</t>
        </is>
      </c>
      <c r="E46" s="8" t="inlineStr">
        <is>
          <t>Always "not found" or refused. Nothing of A's is shown or changed.</t>
        </is>
      </c>
      <c r="F46" s="10" t="n"/>
      <c r="G46" s="10" t="n"/>
      <c r="H46" s="11" t="inlineStr">
        <is>
          <t>Pass</t>
        </is>
      </c>
      <c r="I46" s="8" t="inlineStr">
        <is>
          <t>QA 2026-10-14 (by hand, agent-driven): Someone else's listing cannot be changed (IDOR): Pass - 4/4 refused (404, does not reveal existence) | Someone else's support ticket cannot be read or answered (IDOR): Pass - 2/2 refused 404 | Someone else's flatmate room cannot be edited or deleted (IDOR): Pass - 2/2 refused 403 || Earlier: QA 2026-10-12: 42 direct server checks passed.</t>
        </is>
      </c>
      <c r="J46" s="8" t="inlineStr">
        <is>
          <t>Buyer, Tenant, Owner, Flatmates</t>
        </is>
      </c>
      <c r="K46" s="8" t="inlineStr">
        <is>
          <t>Critical</t>
        </is>
      </c>
      <c r="L46" s="8" t="n"/>
      <c r="M46" s="8" t="inlineStr">
        <is>
          <t>Both</t>
        </is>
      </c>
      <c r="N46" s="8" t="inlineStr">
        <is>
          <t>Manual</t>
        </is>
      </c>
    </row>
    <row r="47">
      <c r="A47" s="8" t="n">
        <v>46</v>
      </c>
      <c r="B47" s="8" t="inlineStr">
        <is>
          <t>Role access</t>
        </is>
      </c>
      <c r="C47" s="9" t="inlineStr">
        <is>
          <t>Wrong edit on someone else's item</t>
        </is>
      </c>
      <c r="D47" s="8" t="inlineStr">
        <is>
          <t>Send a broken edit (empty fields) for another person's room.</t>
        </is>
      </c>
      <c r="E47" s="8" t="inlineStr">
        <is>
          <t>Refused as "not allowed" (403) before any field check, so nothing about the form is revealed.</t>
        </is>
      </c>
      <c r="F47" s="10" t="n"/>
      <c r="G47" s="10" t="n"/>
      <c r="H47" s="11" t="inlineStr">
        <is>
          <t>Pass</t>
        </is>
      </c>
      <c r="I47" s="8" t="inlineStr">
        <is>
          <t>Closed as by design (QA-08): the form is checked before ownership, so a broken edit gets the list of field errors (the same rules any user sees on their own form). Nothing about the other person's room is shown and nothing is changed; a complete edit is refused (403). (Server-side check from the earlier pass; no screen involved, so automated evidence stands. Not repeated by hand.)</t>
        </is>
      </c>
      <c r="J47" s="8" t="inlineStr">
        <is>
          <t>Flatmate seeker</t>
        </is>
      </c>
      <c r="K47" s="8" t="inlineStr">
        <is>
          <t>Low</t>
        </is>
      </c>
      <c r="L47" s="8" t="inlineStr">
        <is>
          <t>QA-08</t>
        </is>
      </c>
      <c r="M47" s="8" t="inlineStr">
        <is>
          <t>Both</t>
        </is>
      </c>
      <c r="N47" s="8" t="inlineStr">
        <is>
          <t>Automated</t>
        </is>
      </c>
    </row>
    <row r="48">
      <c r="A48" s="8" t="n">
        <v>47</v>
      </c>
      <c r="B48" s="8" t="inlineStr">
        <is>
          <t>Role access</t>
        </is>
      </c>
      <c r="C48" s="9" t="inlineStr">
        <is>
          <t>Tampered login</t>
        </is>
      </c>
      <c r="D48" s="8" t="inlineStr">
        <is>
          <t>Edit the saved login token to say role=admin, or remove its signature.</t>
        </is>
      </c>
      <c r="E48" s="8" t="inlineStr">
        <is>
          <t>Refused (signed out). No admin access.</t>
        </is>
      </c>
      <c r="F48" s="10" t="n"/>
      <c r="G48" s="10" t="n"/>
      <c r="H48" s="11" t="inlineStr">
        <is>
          <t>Pass</t>
        </is>
      </c>
      <c r="I48" s="8" t="inlineStr">
        <is>
          <t>QA 2026-10-14 (by hand, agent-driven): Tampered or unsigned login tokens are refused: Pass - 2/2 refused 401 || Earlier: QA 2026-10-12: 2 direct server checks passed.</t>
        </is>
      </c>
      <c r="J48" s="8" t="inlineStr">
        <is>
          <t>All</t>
        </is>
      </c>
      <c r="K48" s="8" t="inlineStr">
        <is>
          <t>Critical</t>
        </is>
      </c>
      <c r="L48" s="8" t="n"/>
      <c r="M48" s="8" t="inlineStr">
        <is>
          <t>Both</t>
        </is>
      </c>
      <c r="N48" s="8" t="inlineStr">
        <is>
          <t>Manual</t>
        </is>
      </c>
    </row>
    <row r="49">
      <c r="A49" s="8" t="n">
        <v>48</v>
      </c>
      <c r="B49" s="8" t="inlineStr">
        <is>
          <t>Security – Sessions</t>
        </is>
      </c>
      <c r="C49" s="9" t="inlineStr">
        <is>
          <t>Stay signed in</t>
        </is>
      </c>
      <c r="D49" s="8" t="inlineStr">
        <is>
          <t>Leave the app open for more than 15 minutes, then use it.</t>
        </is>
      </c>
      <c r="E49" s="8" t="inlineStr">
        <is>
          <t>You stay signed in without being asked again.</t>
        </is>
      </c>
      <c r="F49" s="10" t="inlineStr">
        <is>
          <t>Open</t>
        </is>
      </c>
      <c r="G49" s="10" t="n"/>
      <c r="H49" s="11" t="inlineStr">
        <is>
          <t>Pass</t>
        </is>
      </c>
      <c r="I49" s="8" t="inlineStr">
        <is>
          <t>QA 2026-10-15 at 1366: signed in through the OTP screen; access token lasts 15 minutes, refresh rides an HttpOnly cookie. Made the access token invalid (same as it expiring) and opened Dashboard: app got 401, called /auth/refresh (200) once, replayed the calls and stayed signed in with no prompt. Evidence mt17-d1366-session-refresh.png</t>
        </is>
      </c>
      <c r="J49" s="8" t="inlineStr">
        <is>
          <t>All signed-in</t>
        </is>
      </c>
      <c r="K49" s="8" t="inlineStr">
        <is>
          <t>High</t>
        </is>
      </c>
      <c r="L49" s="8" t="n"/>
      <c r="M49" s="8" t="inlineStr">
        <is>
          <t>Desktop</t>
        </is>
      </c>
      <c r="N49" s="8" t="inlineStr">
        <is>
          <t>Manual</t>
        </is>
      </c>
    </row>
    <row r="50">
      <c r="A50" s="8" t="n">
        <v>49</v>
      </c>
      <c r="B50" s="8" t="inlineStr">
        <is>
          <t>Security – Sessions</t>
        </is>
      </c>
      <c r="C50" s="9" t="inlineStr">
        <is>
          <t>Stolen renewal token</t>
        </is>
      </c>
      <c r="D50" s="8" t="inlineStr">
        <is>
          <t>Re-use an old (already used) renewal token after 15 seconds.</t>
        </is>
      </c>
      <c r="E50" s="8" t="inlineStr">
        <is>
          <t>Refused, and every session of that login is ended.</t>
        </is>
      </c>
      <c r="F50" s="10" t="n"/>
      <c r="G50" s="10" t="n"/>
      <c r="H50" s="11" t="inlineStr">
        <is>
          <t>Pass</t>
        </is>
      </c>
      <c r="I50" s="8" t="inlineStr">
        <is>
          <t>QA 2026-10-12: 1 direct server checks passed. A 15 s re-use window exists on purpose (two tabs refreshing together). (Server-side check from the earlier pass; no screen involved, so automated evidence stands. Not repeated by hand.)</t>
        </is>
      </c>
      <c r="J50" s="8" t="inlineStr">
        <is>
          <t>All signed-in</t>
        </is>
      </c>
      <c r="K50" s="8" t="inlineStr">
        <is>
          <t>High</t>
        </is>
      </c>
      <c r="L50" s="8" t="n"/>
      <c r="M50" s="8" t="inlineStr">
        <is>
          <t>Both</t>
        </is>
      </c>
      <c r="N50" s="8" t="inlineStr">
        <is>
          <t>Automated</t>
        </is>
      </c>
    </row>
    <row r="51">
      <c r="A51" s="8" t="n">
        <v>50</v>
      </c>
      <c r="B51" s="8" t="inlineStr">
        <is>
          <t>Security – Sessions</t>
        </is>
      </c>
      <c r="C51" s="9" t="inlineStr">
        <is>
          <t>Log out ends access</t>
        </is>
      </c>
      <c r="D51" s="8" t="inlineStr">
        <is>
          <t>Log out, then try an old copied login token.</t>
        </is>
      </c>
      <c r="E51" s="8" t="inlineStr">
        <is>
          <t>The renewal token stops at once. A copied access token stops working at once.</t>
        </is>
      </c>
      <c r="F51" s="10" t="n"/>
      <c r="G51" s="10" t="n"/>
      <c r="H51" s="11" t="inlineStr">
        <is>
          <t>Pass</t>
        </is>
      </c>
      <c r="I51" s="8" t="inlineStr">
        <is>
          <t>QA 2026-10-14 (by hand, agent-driven): Log out ends the session at once: Pass - 2/2 refused 401 || Earlier: Retested 2026-10-12 after the fix: after Log out, the old login token is refused at once (401), including a token made in the same second as the log out. Env: local build with the fixes, backend tests (JDK 25, PostgreSQL 13) and the automated browser suite (run-fast.ps1 -Full, Chromium), 2026-10-12.</t>
        </is>
      </c>
      <c r="J51" s="8" t="inlineStr">
        <is>
          <t>All signed-in</t>
        </is>
      </c>
      <c r="K51" s="8" t="inlineStr">
        <is>
          <t>Low</t>
        </is>
      </c>
      <c r="L51" s="8" t="inlineStr">
        <is>
          <t>QA-02</t>
        </is>
      </c>
      <c r="M51" s="8" t="inlineStr">
        <is>
          <t>Both</t>
        </is>
      </c>
      <c r="N51" s="8" t="inlineStr">
        <is>
          <t>Both</t>
        </is>
      </c>
    </row>
    <row r="52">
      <c r="A52" s="8" t="n">
        <v>51</v>
      </c>
      <c r="B52" s="8" t="inlineStr">
        <is>
          <t>Security – Sessions</t>
        </is>
      </c>
      <c r="C52" s="9" t="inlineStr">
        <is>
          <t>Suspended user is cut off</t>
        </is>
      </c>
      <c r="D52" s="8" t="inlineStr">
        <is>
          <t>Admin suspends a user who is signed in. The user keeps clicking and sends a support ticket.</t>
        </is>
      </c>
      <c r="E52" s="8" t="inlineStr">
        <is>
          <t>The next action is refused and the user is signed out.</t>
        </is>
      </c>
      <c r="F52" s="10" t="inlineStr">
        <is>
          <t>Open</t>
        </is>
      </c>
      <c r="G52" s="10" t="n"/>
      <c r="H52" s="11" t="inlineStr">
        <is>
          <t>Not tested</t>
        </is>
      </c>
      <c r="I52" s="8" t="inlineStr">
        <is>
          <t>RETEST: fixed in code + e2e on 2026-10-15 (QA-B57). Previous result: Fail. QA 2026-10-15 (by hand) at 390x844 and 1366x768, Chromium: new buyer signed in and opened Support; admin 9000000000 suspended them in Admin &gt; Users ("User suspended - their sessions have been ended"). Buyer pressed Submit ticket: the server refused (401, refresh 401) and the stored sign-in was cleared, but the page stayed on Support, the header still showed the signed-in avatar, and the only message was "Couldn't save your ticket. Please try again." - twice. Nothing says the account is suspended and the user is not taken to sign-in (QA-B57). Evidence mt41-*-suspended-submit.png.</t>
        </is>
      </c>
      <c r="J52" s="8" t="inlineStr">
        <is>
          <t>Admin, Buyer</t>
        </is>
      </c>
      <c r="K52" s="8" t="inlineStr">
        <is>
          <t>High</t>
        </is>
      </c>
      <c r="L52" s="8" t="inlineStr">
        <is>
          <t>QA-B57</t>
        </is>
      </c>
      <c r="M52" s="8" t="inlineStr">
        <is>
          <t>Both</t>
        </is>
      </c>
      <c r="N52" s="8" t="inlineStr">
        <is>
          <t>Both</t>
        </is>
      </c>
    </row>
    <row r="53">
      <c r="A53" s="8" t="n">
        <v>52</v>
      </c>
      <c r="B53" s="8" t="inlineStr">
        <is>
          <t>Security – Sessions</t>
        </is>
      </c>
      <c r="C53" s="9" t="inlineStr">
        <is>
          <t>Suspended user cannot sign in; restored user can</t>
        </is>
      </c>
      <c r="D53" s="8" t="inlineStr">
        <is>
          <t>Admin suspends a user, user tries to sign in. Admin reactivates, user signs in.</t>
        </is>
      </c>
      <c r="E53" s="8" t="inlineStr">
        <is>
          <t>Suspended: friendly "account suspended" message. After reactivation sign-in works.</t>
        </is>
      </c>
      <c r="F53" s="10" t="inlineStr">
        <is>
          <t>Open</t>
        </is>
      </c>
      <c r="G53" s="10" t="n"/>
      <c r="H53" s="11" t="inlineStr">
        <is>
          <t>Pass</t>
        </is>
      </c>
      <c r="I53" s="8" t="inlineStr">
        <is>
          <t>QA 2026-10-15 (by hand) at 390x844 and 1366x768: after admin suspended the buyer in Admin &gt; Users, signing in through the OTP screen shows "This account is suspended. Contact support if you think this is a mistake." and stays on sign-in. Admin pressed Reactivate ("User reactivated"); the same number then signed in and reached the dashboard. Evidence mt41-*-suspended-signin.png, mt41-*-reactivated.png.</t>
        </is>
      </c>
      <c r="J53" s="8" t="inlineStr">
        <is>
          <t>Admin, Buyer</t>
        </is>
      </c>
      <c r="K53" s="8" t="inlineStr">
        <is>
          <t>High</t>
        </is>
      </c>
      <c r="L53" s="8" t="n"/>
      <c r="M53" s="8" t="inlineStr">
        <is>
          <t>Both</t>
        </is>
      </c>
      <c r="N53" s="8" t="inlineStr">
        <is>
          <t>Both</t>
        </is>
      </c>
    </row>
    <row r="54">
      <c r="A54" s="8" t="n">
        <v>53</v>
      </c>
      <c r="B54" s="8" t="inlineStr">
        <is>
          <t>Security – Sessions</t>
        </is>
      </c>
      <c r="C54" s="9" t="inlineStr">
        <is>
          <t>Session expiry mid-task</t>
        </is>
      </c>
      <c r="D54" s="8" t="inlineStr">
        <is>
          <t>Let the session expire while filling a form, then submit.</t>
        </is>
      </c>
      <c r="E54" s="8" t="inlineStr">
        <is>
          <t>You are asked to sign in again and come back to the same place.</t>
        </is>
      </c>
      <c r="F54" s="10" t="n"/>
      <c r="G54" s="10" t="n"/>
      <c r="H54" s="11" t="inlineStr">
        <is>
          <t>Not tested</t>
        </is>
      </c>
      <c r="I54" s="8" t="inlineStr">
        <is>
          <t>RETEST: fixed in code + e2e on 2026-10-15 (QA-B57). Previous result: Fail. QA 2026-10-15 at 1366 (buyer 9614558036): with the session fully ended mid-form on /support, Submit ticket did nothing the first time and showed "Couldn't save your ticket. Please try again." the second time; no sign-in prompt. Only after a manual reload: /signin?next=/support, and signing in returns to /support (typed text lost). Expected: asked to sign in and brought back. See QA-B57 for full steps. Evidence mt17-d1366-session-expired*.png</t>
        </is>
      </c>
      <c r="J54" s="8" t="inlineStr">
        <is>
          <t>All signed-in</t>
        </is>
      </c>
      <c r="K54" s="8" t="inlineStr">
        <is>
          <t>Medium</t>
        </is>
      </c>
      <c r="L54" s="8" t="inlineStr">
        <is>
          <t>QA-B57</t>
        </is>
      </c>
      <c r="M54" s="8" t="inlineStr">
        <is>
          <t>Desktop</t>
        </is>
      </c>
      <c r="N54" s="8" t="inlineStr">
        <is>
          <t>Manual</t>
        </is>
      </c>
    </row>
    <row r="55">
      <c r="A55" s="8" t="n">
        <v>54</v>
      </c>
      <c r="B55" s="8" t="inlineStr">
        <is>
          <t>Security – Sessions</t>
        </is>
      </c>
      <c r="C55" s="9" t="inlineStr">
        <is>
          <t>Staff two-step sign-in</t>
        </is>
      </c>
      <c r="D55" s="8" t="inlineStr">
        <is>
          <t>Sign in to the back-office as staff.</t>
        </is>
      </c>
      <c r="E55" s="8" t="inlineStr">
        <is>
          <t>A second step (code) is required before the back-office opens.</t>
        </is>
      </c>
      <c r="F55" s="10" t="inlineStr">
        <is>
          <t>Open</t>
        </is>
      </c>
      <c r="G55" s="10" t="n"/>
      <c r="H55" s="11" t="inlineStr">
        <is>
          <t>Pass</t>
        </is>
      </c>
      <c r="I55" s="8" t="inlineStr">
        <is>
          <t>QA 2026-10-15 at 1366: every staff sign-in on /staff-login (admin, manager, staff) asked for the 6-digit authenticator code after the password; no back-office page opened without it.</t>
        </is>
      </c>
      <c r="J55" s="8" t="inlineStr">
        <is>
          <t>Staff, Manager, Admin</t>
        </is>
      </c>
      <c r="K55" s="8" t="inlineStr">
        <is>
          <t>Critical</t>
        </is>
      </c>
      <c r="L55" s="8" t="n"/>
      <c r="M55" s="8" t="inlineStr">
        <is>
          <t>Desktop</t>
        </is>
      </c>
      <c r="N55" s="8" t="inlineStr">
        <is>
          <t>Manual</t>
        </is>
      </c>
    </row>
    <row r="56">
      <c r="A56" s="8" t="n">
        <v>55</v>
      </c>
      <c r="B56" s="8" t="inlineStr">
        <is>
          <t>Security – Input</t>
        </is>
      </c>
      <c r="C56" s="9" t="inlineStr">
        <is>
          <t>Code in a listing description</t>
        </is>
      </c>
      <c r="D56" s="8" t="inlineStr">
        <is>
          <t>Type &lt;img src=x onerror=alert(1)&gt; in a listing description and view the listing.</t>
        </is>
      </c>
      <c r="E56" s="8" t="inlineStr">
        <is>
          <t>It shows as plain text. No pop-up, nothing runs.</t>
        </is>
      </c>
      <c r="F56" s="10" t="n"/>
      <c r="G56" s="10" t="n"/>
      <c r="H56" s="11" t="inlineStr">
        <is>
          <t>Pass</t>
        </is>
      </c>
      <c r="I56" s="8" t="inlineStr">
        <is>
          <t>QA 2026-10-15 (by hand): owner 9657839865 typed "Sunny corner home. &lt;img src=x onerror=alert(1)&gt; &lt;script&gt;alert(2)&lt;/script&gt; &lt;b&gt;bold?&lt;/b&gt; ..." into the description in Edit listing (1366x768) and submitted; admin opened the review (code shown as plain text, nothing ran) and approved; owner resumed the listing. Buyer opened /property/p5020 at 390x844 and 1366x768: the description shows the code as plain text, no pop-up, no injected image, nothing turned bold, no console errors. Evidence mt41-*-desc-xss-view.png, mt41-d1366-admin-review-xss.png.</t>
        </is>
      </c>
      <c r="J56" s="8" t="inlineStr">
        <is>
          <t>Owner, Buyer</t>
        </is>
      </c>
      <c r="K56" s="8" t="inlineStr">
        <is>
          <t>Critical</t>
        </is>
      </c>
      <c r="L56" s="8" t="n"/>
      <c r="M56" s="8" t="inlineStr">
        <is>
          <t>Both</t>
        </is>
      </c>
      <c r="N56" s="8" t="inlineStr">
        <is>
          <t>Both</t>
        </is>
      </c>
    </row>
    <row r="57">
      <c r="A57" s="8" t="n">
        <v>56</v>
      </c>
      <c r="B57" s="8" t="inlineStr">
        <is>
          <t>Security – Input</t>
        </is>
      </c>
      <c r="C57" s="9" t="inlineStr">
        <is>
          <t>Code in chat / support ticket</t>
        </is>
      </c>
      <c r="D57" s="8" t="inlineStr">
        <is>
          <t>Type &lt;script&gt;alert(1)&lt;/script&gt; in a support ticket or chat message.</t>
        </is>
      </c>
      <c r="E57" s="8" t="inlineStr">
        <is>
          <t>It shows as plain text. Nothing runs.</t>
        </is>
      </c>
      <c r="F57" s="10" t="inlineStr">
        <is>
          <t>Open</t>
        </is>
      </c>
      <c r="G57" s="10" t="n"/>
      <c r="H57" s="11" t="inlineStr">
        <is>
          <t>Pass</t>
        </is>
      </c>
      <c r="I57" s="8" t="inlineStr">
        <is>
          <t>QA 2026-10-14 (by hand, agent-driven): Chat messages are shown as plain text (no script runs): Pass - Stored verbatim; rendered as text on both sides | Script in a support ticket: Pass - Rendered as text on phone and desktop; no dialog. || Earlier: QA 2026-10-12: 4 automated browser checks passed (1 test file); 2 direct server checks passed.</t>
        </is>
      </c>
      <c r="J57" s="8" t="inlineStr">
        <is>
          <t>All signed-in</t>
        </is>
      </c>
      <c r="K57" s="8" t="inlineStr">
        <is>
          <t>Critical</t>
        </is>
      </c>
      <c r="L57" s="8" t="n"/>
      <c r="M57" s="8" t="inlineStr">
        <is>
          <t>Both</t>
        </is>
      </c>
      <c r="N57" s="8" t="inlineStr">
        <is>
          <t>Both</t>
        </is>
      </c>
    </row>
    <row r="58">
      <c r="A58" s="8" t="n">
        <v>57</v>
      </c>
      <c r="B58" s="8" t="inlineStr">
        <is>
          <t>Security – Input</t>
        </is>
      </c>
      <c r="C58" s="9" t="inlineStr">
        <is>
          <t>Code in reviews</t>
        </is>
      </c>
      <c r="D58" s="8" t="inlineStr">
        <is>
          <t>Write a society or property review that contains HTML/script.</t>
        </is>
      </c>
      <c r="E58" s="8" t="inlineStr">
        <is>
          <t>It shows as plain text. Nothing runs.</t>
        </is>
      </c>
      <c r="F58" s="10" t="n"/>
      <c r="G58" s="10" t="n"/>
      <c r="H58" s="11" t="inlineStr">
        <is>
          <t>Pass</t>
        </is>
      </c>
      <c r="I58" s="8" t="inlineStr">
        <is>
          <t>QA 2026-10-15: buyer 9614558036 at 390 posted a 4-star review on Golden Springs (Baner) with &lt;img onerror&gt;, &lt;script&gt; and &lt;b&gt; in the text. Guest at 390 and 1366 sees it under "Reviews &amp; Q&amp;A" as plain text: no image, no bold, no pop-up. Minor: double-tap on "Post review" shows both "Your review could not be posted. Please try again." and "Thanks for reviewing this society!" (second request 409); only one review saved. The "New here? Ask Draaz" bubble covers the category stars at 390 (QA-B04).</t>
        </is>
      </c>
      <c r="J58" s="8" t="inlineStr">
        <is>
          <t>Buyer, Tenant</t>
        </is>
      </c>
      <c r="K58" s="8" t="inlineStr">
        <is>
          <t>High</t>
        </is>
      </c>
      <c r="L58" s="8" t="n"/>
      <c r="M58" s="8" t="inlineStr">
        <is>
          <t>Both</t>
        </is>
      </c>
      <c r="N58" s="8" t="inlineStr">
        <is>
          <t>Manual</t>
        </is>
      </c>
    </row>
    <row r="59">
      <c r="A59" s="8" t="n">
        <v>58</v>
      </c>
      <c r="B59" s="8" t="inlineStr">
        <is>
          <t>Security – Input</t>
        </is>
      </c>
      <c r="C59" s="9" t="inlineStr">
        <is>
          <t>Long, odd and special text</t>
        </is>
      </c>
      <c r="D59" s="8" t="inlineStr">
        <is>
          <t>Type a 300-character subject, emoji, Marathi/Hindi text, and text like ' OR 1=1 -- in forms and search.</t>
        </is>
      </c>
      <c r="E59" s="8" t="inlineStr">
        <is>
          <t>Too-long text gets a clear message. Emoji and other languages save fine. Search does not break.</t>
        </is>
      </c>
      <c r="F59" s="10" t="n"/>
      <c r="G59" s="10" t="n"/>
      <c r="H59" s="11" t="inlineStr">
        <is>
          <t>Not tested</t>
        </is>
      </c>
      <c r="I59" s="8" t="inlineStr">
        <is>
          <t>RETEST: fixed in code + e2e on 2026-10-15 (QA-B77; QA-B56). Previous result: Fail. QA 2026-10-15 (by hand) buyer at 390x844 and 1366x768: Support ticket with Marathi + Hindi + emoji and ' OR 1=1 -- in subject and description saves and shows back exactly; Help search and listings search with ' OR 1=1 --, "बाणेर 😀" and 300 x's show a normal "0 articles"/results page, no error, no sideways scroll. Fail: a pasted 300-character subject is silently cut to 120 characters with no message (QA-B77); an over-long description gets only a generic error (QA-B56). Evidence mt41-*-odd-text-ticket.png, mt41-*-odd-text-search.png.</t>
        </is>
      </c>
      <c r="J59" s="8" t="inlineStr">
        <is>
          <t>All</t>
        </is>
      </c>
      <c r="K59" s="8" t="inlineStr">
        <is>
          <t>Medium</t>
        </is>
      </c>
      <c r="L59" s="8" t="inlineStr">
        <is>
          <t>QA-B77; QA-B56</t>
        </is>
      </c>
      <c r="M59" s="8" t="inlineStr">
        <is>
          <t>Both</t>
        </is>
      </c>
      <c r="N59" s="8" t="inlineStr">
        <is>
          <t>Both</t>
        </is>
      </c>
    </row>
    <row r="60">
      <c r="A60" s="8" t="n">
        <v>59</v>
      </c>
      <c r="B60" s="8" t="inlineStr">
        <is>
          <t>Security – Input</t>
        </is>
      </c>
      <c r="C60" s="9" t="inlineStr">
        <is>
          <t>Error messages are friendly</t>
        </is>
      </c>
      <c r="D60" s="8" t="inlineStr">
        <is>
          <t>Open a wrong address, a wrong property ID, or send a broken form.</t>
        </is>
      </c>
      <c r="E60" s="8" t="inlineStr">
        <is>
          <t>A short friendly message. No technical code or stack trace.</t>
        </is>
      </c>
      <c r="F60" s="10" t="n"/>
      <c r="G60" s="10" t="n"/>
      <c r="H60" s="11" t="inlineStr">
        <is>
          <t>Pass</t>
        </is>
      </c>
      <c r="I60" s="8" t="inlineStr">
        <is>
          <t>QA 2026-10-14 (by hand, agent-driven): Error replies never show internal details: Pass - 404 "Property not found", 400 "Request body could not be read" || Earlier: QA 2026-10-12: 9 automated browser checks passed (1 test file); 5 direct server checks passed.</t>
        </is>
      </c>
      <c r="J60" s="8" t="inlineStr">
        <is>
          <t>All</t>
        </is>
      </c>
      <c r="K60" s="8" t="inlineStr">
        <is>
          <t>High</t>
        </is>
      </c>
      <c r="L60" s="8" t="n"/>
      <c r="M60" s="8" t="inlineStr">
        <is>
          <t>Both</t>
        </is>
      </c>
      <c r="N60" s="8" t="inlineStr">
        <is>
          <t>Both</t>
        </is>
      </c>
    </row>
    <row r="61">
      <c r="A61" s="8" t="n">
        <v>60</v>
      </c>
      <c r="B61" s="8" t="inlineStr">
        <is>
          <t>Security – Rate limits</t>
        </is>
      </c>
      <c r="C61" s="9" t="inlineStr">
        <is>
          <t>Ask for a second OTP too fast</t>
        </is>
      </c>
      <c r="D61" s="8" t="inlineStr">
        <is>
          <t>Ask for a login code, then ask again straight away.</t>
        </is>
      </c>
      <c r="E61" s="8" t="inlineStr">
        <is>
          <t>Refused with "wait a moment" (60 s gap).</t>
        </is>
      </c>
      <c r="F61" s="10" t="inlineStr">
        <is>
          <t>Open</t>
        </is>
      </c>
      <c r="G61" s="10" t="n"/>
      <c r="H61" s="11" t="inlineStr">
        <is>
          <t>Pass</t>
        </is>
      </c>
      <c r="I61" s="8" t="inlineStr">
        <is>
          <t>QA 2026-10-14 (by hand, agent-driven): OTP resend is rate-limited: Pass - Local+e2e profile turns the limit off on purpose; proved on a separate backend with production limits (60 s cooldown, 5 per window): 6/6 repeat sends refused 429 || Earlier: QA 2026-10-12: 1 direct server checks passed.</t>
        </is>
      </c>
      <c r="J61" s="8" t="inlineStr">
        <is>
          <t>Guest</t>
        </is>
      </c>
      <c r="K61" s="8" t="inlineStr">
        <is>
          <t>High</t>
        </is>
      </c>
      <c r="L61" s="8" t="n"/>
      <c r="M61" s="8" t="inlineStr">
        <is>
          <t>Both</t>
        </is>
      </c>
      <c r="N61" s="8" t="inlineStr">
        <is>
          <t>Manual</t>
        </is>
      </c>
    </row>
    <row r="62">
      <c r="A62" s="8" t="n">
        <v>61</v>
      </c>
      <c r="B62" s="8" t="inlineStr">
        <is>
          <t>Security – Rate limits</t>
        </is>
      </c>
      <c r="C62" s="9" t="inlineStr">
        <is>
          <t>Too many OTPs for one number</t>
        </is>
      </c>
      <c r="D62" s="8" t="inlineStr">
        <is>
          <t>Ask for a login code 6 times in one hour (waiting a minute each time).</t>
        </is>
      </c>
      <c r="E62" s="8" t="inlineStr">
        <is>
          <t>The 6th is refused with a clear message.</t>
        </is>
      </c>
      <c r="F62" s="10" t="inlineStr">
        <is>
          <t>Open</t>
        </is>
      </c>
      <c r="G62" s="10" t="n"/>
      <c r="H62" s="11" t="inlineStr">
        <is>
          <t>Pass</t>
        </is>
      </c>
      <c r="I62" s="8" t="inlineStr">
        <is>
          <t>QA 2026-10-12: 1 direct server checks passed. There is no per-device cap across many numbers; by design the limits are per number plus a platform ceiling (auth flow doc). (Server-side check from the earlier pass; no screen involved, so automated evidence stands. Not repeated by hand.)</t>
        </is>
      </c>
      <c r="J62" s="8" t="inlineStr">
        <is>
          <t>Guest</t>
        </is>
      </c>
      <c r="K62" s="8" t="inlineStr">
        <is>
          <t>High</t>
        </is>
      </c>
      <c r="L62" s="8" t="n"/>
      <c r="M62" s="8" t="inlineStr">
        <is>
          <t>Both</t>
        </is>
      </c>
      <c r="N62" s="8" t="inlineStr">
        <is>
          <t>Automated</t>
        </is>
      </c>
    </row>
    <row r="63">
      <c r="A63" s="8" t="n">
        <v>62</v>
      </c>
      <c r="B63" s="8" t="inlineStr">
        <is>
          <t>Security – Rate limits</t>
        </is>
      </c>
      <c r="C63" s="9" t="inlineStr">
        <is>
          <t>Guessing the OTP</t>
        </is>
      </c>
      <c r="D63" s="8" t="inlineStr">
        <is>
          <t>Type a wrong code many times, then the right one.</t>
        </is>
      </c>
      <c r="E63" s="8" t="inlineStr">
        <is>
          <t>After a few wrong tries the code is locked; you must ask for a new one.</t>
        </is>
      </c>
      <c r="F63" s="10" t="inlineStr">
        <is>
          <t>Open</t>
        </is>
      </c>
      <c r="G63" s="10" t="n"/>
      <c r="H63" s="11" t="inlineStr">
        <is>
          <t>Pass</t>
        </is>
      </c>
      <c r="I63" s="8" t="inlineStr">
        <is>
          <t>QA 2026-10-14 (by hand, agent-driven): Wrong OTP locks after 3 tries: Pass - Confirmed || Earlier: QA 2026-10-12: 1 direct server checks passed.</t>
        </is>
      </c>
      <c r="J63" s="8" t="inlineStr">
        <is>
          <t>Guest</t>
        </is>
      </c>
      <c r="K63" s="8" t="inlineStr">
        <is>
          <t>Critical</t>
        </is>
      </c>
      <c r="L63" s="8" t="n"/>
      <c r="M63" s="8" t="inlineStr">
        <is>
          <t>Both</t>
        </is>
      </c>
      <c r="N63" s="8" t="inlineStr">
        <is>
          <t>Manual</t>
        </is>
      </c>
    </row>
    <row r="64">
      <c r="A64" s="8" t="n">
        <v>63</v>
      </c>
      <c r="B64" s="8" t="inlineStr">
        <is>
          <t>Security – Rate limits</t>
        </is>
      </c>
      <c r="C64" s="9" t="inlineStr">
        <is>
          <t>Wrong, expired or reused OTP</t>
        </is>
      </c>
      <c r="D64" s="8" t="inlineStr">
        <is>
          <t>Type a wrong code; use a code older than 5 minutes; reuse a code that already worked.</t>
        </is>
      </c>
      <c r="E64" s="8" t="inlineStr">
        <is>
          <t>All refused with a friendly message.</t>
        </is>
      </c>
      <c r="F64" s="10" t="inlineStr">
        <is>
          <t>Open</t>
        </is>
      </c>
      <c r="G64" s="10" t="n"/>
      <c r="H64" s="11" t="inlineStr">
        <is>
          <t>Pass</t>
        </is>
      </c>
      <c r="I64" s="8" t="inlineStr">
        <is>
          <t>QA 2026-10-14 (by hand, agent-driven): Used or expired OTP cannot sign in: Pass - Expiry simulated by moving the code's expiry time into the past in the scratch database || Earlier: QA 2026-10-12: 5 direct server checks passed.</t>
        </is>
      </c>
      <c r="J64" s="8" t="inlineStr">
        <is>
          <t>Guest</t>
        </is>
      </c>
      <c r="K64" s="8" t="inlineStr">
        <is>
          <t>Critical</t>
        </is>
      </c>
      <c r="L64" s="8" t="n"/>
      <c r="M64" s="8" t="inlineStr">
        <is>
          <t>Both</t>
        </is>
      </c>
      <c r="N64" s="8" t="inlineStr">
        <is>
          <t>Manual</t>
        </is>
      </c>
    </row>
    <row r="65">
      <c r="A65" s="8" t="n">
        <v>64</v>
      </c>
      <c r="B65" s="8" t="inlineStr">
        <is>
          <t>Security – Rate limits</t>
        </is>
      </c>
      <c r="C65" s="9" t="inlineStr">
        <is>
          <t>Spam from a logged-out visitor</t>
        </is>
      </c>
      <c r="D65" s="8" t="inlineStr">
        <is>
          <t>Send 130 "Was this helpful" votes or demand signals in one minute.</t>
        </is>
      </c>
      <c r="E65" s="8" t="inlineStr">
        <is>
          <t>After about 120 the rest are slowed down with "Too many requests".</t>
        </is>
      </c>
      <c r="F65" s="10" t="inlineStr">
        <is>
          <t>Open</t>
        </is>
      </c>
      <c r="G65" s="10" t="n"/>
      <c r="H65" s="11" t="inlineStr">
        <is>
          <t>Pass</t>
        </is>
      </c>
      <c r="I65" s="8" t="inlineStr">
        <is>
          <t>QA 2026-10-12: 2 direct server checks passed. (Server-side check from the earlier pass; no screen involved, so automated evidence stands. Not repeated by hand.)</t>
        </is>
      </c>
      <c r="J65" s="8" t="inlineStr">
        <is>
          <t>Guest</t>
        </is>
      </c>
      <c r="K65" s="8" t="inlineStr">
        <is>
          <t>Medium</t>
        </is>
      </c>
      <c r="L65" s="8" t="n"/>
      <c r="M65" s="8" t="inlineStr">
        <is>
          <t>Both</t>
        </is>
      </c>
      <c r="N65" s="8" t="inlineStr">
        <is>
          <t>Automated</t>
        </is>
      </c>
    </row>
    <row r="66">
      <c r="A66" s="8" t="n">
        <v>65</v>
      </c>
      <c r="B66" s="8" t="inlineStr">
        <is>
          <t>Security – Rate limits</t>
        </is>
      </c>
      <c r="C66" s="9" t="inlineStr">
        <is>
          <t>Spam from a signed-in user</t>
        </is>
      </c>
      <c r="D66" s="8" t="inlineStr">
        <is>
          <t>Send 130 changes in one minute while signed in.</t>
        </is>
      </c>
      <c r="E66" s="8" t="inlineStr">
        <is>
          <t>After about 120 the rest are slowed down.</t>
        </is>
      </c>
      <c r="F66" s="10" t="n"/>
      <c r="G66" s="10" t="n"/>
      <c r="H66" s="11" t="inlineStr">
        <is>
          <t>Pass</t>
        </is>
      </c>
      <c r="I66" s="8" t="inlineStr">
        <is>
          <t>QA 2026-10-12: 1 direct server checks passed. (Server-side check from the earlier pass; no screen involved, so automated evidence stands. Not repeated by hand.)</t>
        </is>
      </c>
      <c r="J66" s="8" t="inlineStr">
        <is>
          <t>All signed-in</t>
        </is>
      </c>
      <c r="K66" s="8" t="inlineStr">
        <is>
          <t>Medium</t>
        </is>
      </c>
      <c r="L66" s="8" t="n"/>
      <c r="M66" s="8" t="inlineStr">
        <is>
          <t>Both</t>
        </is>
      </c>
      <c r="N66" s="8" t="inlineStr">
        <is>
          <t>Automated</t>
        </is>
      </c>
    </row>
    <row r="67">
      <c r="A67" s="8" t="n">
        <v>66</v>
      </c>
      <c r="B67" s="8" t="inlineStr">
        <is>
          <t>Security – Rate limits</t>
        </is>
      </c>
      <c r="C67" s="9" t="inlineStr">
        <is>
          <t>Reporting the same listing again and again</t>
        </is>
      </c>
      <c r="D67" s="8" t="inlineStr">
        <is>
          <t>Report one listing 40 times quickly.</t>
        </is>
      </c>
      <c r="E67" s="8" t="inlineStr">
        <is>
          <t>Only one report is kept; repeats are refused politely.</t>
        </is>
      </c>
      <c r="F67" s="10" t="n"/>
      <c r="G67" s="10" t="n"/>
      <c r="H67" s="11" t="inlineStr">
        <is>
          <t>Pass</t>
        </is>
      </c>
      <c r="I67" s="8" t="inlineStr">
        <is>
          <t>QA 2026-10-12: 1 direct server checks passed. (Server-side check from the earlier pass; no screen involved, so automated evidence stands. Not repeated by hand.)</t>
        </is>
      </c>
      <c r="J67" s="8" t="inlineStr">
        <is>
          <t>Buyer, Tenant</t>
        </is>
      </c>
      <c r="K67" s="8" t="inlineStr">
        <is>
          <t>Low</t>
        </is>
      </c>
      <c r="L67" s="8" t="n"/>
      <c r="M67" s="8" t="inlineStr">
        <is>
          <t>Both</t>
        </is>
      </c>
      <c r="N67" s="8" t="inlineStr">
        <is>
          <t>Automated</t>
        </is>
      </c>
    </row>
    <row r="68">
      <c r="A68" s="8" t="n">
        <v>67</v>
      </c>
      <c r="B68" s="8" t="inlineStr">
        <is>
          <t>Privacy</t>
        </is>
      </c>
      <c r="C68" s="9" t="inlineStr">
        <is>
          <t>Owner phone hidden until approved</t>
        </is>
      </c>
      <c r="D68" s="8" t="inlineStr">
        <is>
          <t>As a buyer, open a property, search results and the owner profile before your contact request is approved.</t>
        </is>
      </c>
      <c r="E68" s="8" t="inlineStr">
        <is>
          <t>The owner number is masked (98XXXXX210) everywhere until the owner approves.</t>
        </is>
      </c>
      <c r="F68" s="10" t="n"/>
      <c r="G68" s="10" t="n"/>
      <c r="H68" s="11" t="inlineStr">
        <is>
          <t>Pass</t>
        </is>
      </c>
      <c r="I68" s="8" t="inlineStr">
        <is>
          <t>QA 2026-10-14 (by hand, agent-driven): Number masked for buyer (p5133) and tenant (p5000) until the owner accepted; then full number + WhatsApp link shown (390x844). || Earlier: QA 2026-10-12: 5 direct server checks passed.</t>
        </is>
      </c>
      <c r="J68" s="8" t="inlineStr">
        <is>
          <t>Guest, Buyer, Tenant</t>
        </is>
      </c>
      <c r="K68" s="8" t="inlineStr">
        <is>
          <t>Critical</t>
        </is>
      </c>
      <c r="L68" s="8" t="n"/>
      <c r="M68" s="8" t="inlineStr">
        <is>
          <t>Phone</t>
        </is>
      </c>
      <c r="N68" s="8" t="inlineStr">
        <is>
          <t>Manual</t>
        </is>
      </c>
    </row>
    <row r="69">
      <c r="A69" s="8" t="n">
        <v>68</v>
      </c>
      <c r="B69" s="8" t="inlineStr">
        <is>
          <t>Privacy</t>
        </is>
      </c>
      <c r="C69" s="9" t="inlineStr">
        <is>
          <t>Masked contact names in the app</t>
        </is>
      </c>
      <c r="D69" s="8" t="inlineStr">
        <is>
          <t>Open contact requests, leads and chats as owner and buyer before approval.</t>
        </is>
      </c>
      <c r="E69" s="8" t="inlineStr">
        <is>
          <t>Names and numbers appear only as allowed (masked before approval).</t>
        </is>
      </c>
      <c r="F69" s="10" t="inlineStr">
        <is>
          <t>Open</t>
        </is>
      </c>
      <c r="G69" s="10" t="n"/>
      <c r="H69" s="11" t="inlineStr">
        <is>
          <t>Pass</t>
        </is>
      </c>
      <c r="I69" s="8" t="inlineStr">
        <is>
          <t>QA 2026-10-15: buyer 9614730195 asked for the number of the QA selfcheck rent listing. Buyer at 1366 before approval sees owner name and "+91 96••• •••00" with "Request sent - awaiting". Owner at 390 in Dashboard &gt; Requests sees "Qa Seeker Priya - Number request" with no buyer number shown (API gives 96XXXXX195). Owner tapped Accept (one PATCH). Buyer at 1366 now sees the full number. Names are shown by design; only numbers are masked (docs/system/cross-cutting.md). Evidence mt19-*.png</t>
        </is>
      </c>
      <c r="J69" s="8" t="inlineStr">
        <is>
          <t>Owner, Buyer</t>
        </is>
      </c>
      <c r="K69" s="8" t="inlineStr">
        <is>
          <t>High</t>
        </is>
      </c>
      <c r="L69" s="8" t="n"/>
      <c r="M69" s="8" t="inlineStr">
        <is>
          <t>Both</t>
        </is>
      </c>
      <c r="N69" s="8" t="inlineStr">
        <is>
          <t>Manual</t>
        </is>
      </c>
    </row>
    <row r="70">
      <c r="A70" s="8" t="n">
        <v>69</v>
      </c>
      <c r="B70" s="8" t="inlineStr">
        <is>
          <t>Privacy</t>
        </is>
      </c>
      <c r="C70" s="9" t="inlineStr">
        <is>
          <t>Flatmate phone hidden</t>
        </is>
      </c>
      <c r="D70" s="8" t="inlineStr">
        <is>
          <t>Open room and seeker profiles and the flatmates feed.</t>
        </is>
      </c>
      <c r="E70" s="8" t="inlineStr">
        <is>
          <t>No phone number shows anywhere.</t>
        </is>
      </c>
      <c r="F70" s="10" t="inlineStr">
        <is>
          <t>Open</t>
        </is>
      </c>
      <c r="G70" s="10" t="n"/>
      <c r="H70" s="11" t="inlineStr">
        <is>
          <t>Pass</t>
        </is>
      </c>
      <c r="I70" s="8" t="inlineStr">
        <is>
          <t>QA 2026-10-14 (by hand, agent-driven): Room detail shows no phone number before the request is accepted (390x844). || Earlier: QA 2026-10-12: 5 direct server checks passed.</t>
        </is>
      </c>
      <c r="J70" s="8" t="inlineStr">
        <is>
          <t>Guest, Flatmates</t>
        </is>
      </c>
      <c r="K70" s="8" t="inlineStr">
        <is>
          <t>Critical</t>
        </is>
      </c>
      <c r="L70" s="8" t="n"/>
      <c r="M70" s="8" t="inlineStr">
        <is>
          <t>Phone</t>
        </is>
      </c>
      <c r="N70" s="8" t="inlineStr">
        <is>
          <t>Manual</t>
        </is>
      </c>
    </row>
    <row r="71">
      <c r="A71" s="8" t="n">
        <v>70</v>
      </c>
      <c r="B71" s="8" t="inlineStr">
        <is>
          <t>Privacy</t>
        </is>
      </c>
      <c r="C71" s="9" t="inlineStr">
        <is>
          <t>Cannot find out if a number is registered</t>
        </is>
      </c>
      <c r="D71" s="8" t="inlineStr">
        <is>
          <t>Try to start a chat with a raw phone number, once registered and once not.</t>
        </is>
      </c>
      <c r="E71" s="8" t="inlineStr">
        <is>
          <t>Both give the same answer, so nobody can tell who has an account.</t>
        </is>
      </c>
      <c r="F71" s="10" t="n"/>
      <c r="G71" s="10" t="n"/>
      <c r="H71" s="11" t="inlineStr">
        <is>
          <t>Pass</t>
        </is>
      </c>
      <c r="I71" s="8" t="inlineStr">
        <is>
          <t>QA 2026-10-12: 1 direct server checks passed. (Server-side check from the earlier pass; no screen involved, so automated evidence stands. Not repeated by hand.)</t>
        </is>
      </c>
      <c r="J71" s="8" t="inlineStr">
        <is>
          <t>All signed-in</t>
        </is>
      </c>
      <c r="K71" s="8" t="inlineStr">
        <is>
          <t>Medium</t>
        </is>
      </c>
      <c r="L71" s="8" t="n"/>
      <c r="M71" s="8" t="inlineStr">
        <is>
          <t>Both</t>
        </is>
      </c>
      <c r="N71" s="8" t="inlineStr">
        <is>
          <t>Automated</t>
        </is>
      </c>
    </row>
    <row r="72">
      <c r="A72" s="8" t="n">
        <v>71</v>
      </c>
      <c r="B72" s="8" t="inlineStr">
        <is>
          <t>Privacy</t>
        </is>
      </c>
      <c r="C72" s="9" t="inlineStr">
        <is>
          <t>Download my data</t>
        </is>
      </c>
      <c r="D72" s="8" t="inlineStr">
        <is>
          <t>In Privacy, download your data.</t>
        </is>
      </c>
      <c r="E72" s="8" t="inlineStr">
        <is>
          <t>A file with your own data. Other people appear only as a reference, without their name or number.</t>
        </is>
      </c>
      <c r="F72" s="10" t="inlineStr">
        <is>
          <t>Open</t>
        </is>
      </c>
      <c r="G72" s="10" t="n"/>
      <c r="H72" s="11" t="inlineStr">
        <is>
          <t>Pass</t>
        </is>
      </c>
      <c r="I72" s="8" t="inlineStr">
        <is>
          <t>QA 2026-10-14 (by hand, agent-driven): Download my data: Pass - draazy-data-2026-10-14.json (43 KB); no other user's mobile in it. || Earlier: QA 2026-10-12: 3 direct server checks passed.</t>
        </is>
      </c>
      <c r="J72" s="8" t="inlineStr">
        <is>
          <t>All signed-in</t>
        </is>
      </c>
      <c r="K72" s="8" t="inlineStr">
        <is>
          <t>High</t>
        </is>
      </c>
      <c r="L72" s="8" t="n"/>
      <c r="M72" s="8" t="inlineStr">
        <is>
          <t>Phone</t>
        </is>
      </c>
      <c r="N72" s="8" t="inlineStr">
        <is>
          <t>Manual</t>
        </is>
      </c>
    </row>
    <row r="73">
      <c r="A73" s="8" t="n">
        <v>72</v>
      </c>
      <c r="B73" s="8" t="inlineStr">
        <is>
          <t>Privacy</t>
        </is>
      </c>
      <c r="C73" s="9" t="inlineStr">
        <is>
          <t>Delete my account / data request</t>
        </is>
      </c>
      <c r="D73" s="8" t="inlineStr">
        <is>
          <t>In Privacy, ask to delete your data.</t>
        </is>
      </c>
      <c r="E73" s="8" t="inlineStr">
        <is>
          <t>The request is confirmed and appears only in the admin Erasure queue.</t>
        </is>
      </c>
      <c r="F73" s="10" t="inlineStr">
        <is>
          <t>Open</t>
        </is>
      </c>
      <c r="G73" s="10" t="n"/>
      <c r="H73" s="11" t="inlineStr">
        <is>
          <t>Pass</t>
        </is>
      </c>
      <c r="I73" s="8" t="inlineStr">
        <is>
          <t>QA 2026-10-14 (by hand, agent-driven): Request account erasure: Pass - Accepts lower-case "erase". Row then reads "Your request is with our team… Under review". | Erase a person's data: Pass - Toast "Data erased"; audit erasure.request + erasure.execute. Observation: the card shows only "Request 2db85b16" (no name/mobile) and the irreversible button is teal, not red - product to confirm. || Earlier: QA 2026-10-12: 3 automated browser checks passed (1 test file); 1 direct server checks passed.</t>
        </is>
      </c>
      <c r="J73" s="8" t="inlineStr">
        <is>
          <t>All signed-in</t>
        </is>
      </c>
      <c r="K73" s="8" t="inlineStr">
        <is>
          <t>High</t>
        </is>
      </c>
      <c r="L73" s="8" t="n"/>
      <c r="M73" s="8" t="inlineStr">
        <is>
          <t>Both</t>
        </is>
      </c>
      <c r="N73" s="8" t="inlineStr">
        <is>
          <t>Both</t>
        </is>
      </c>
    </row>
    <row r="74">
      <c r="A74" s="8" t="n">
        <v>73</v>
      </c>
      <c r="B74" s="8" t="inlineStr">
        <is>
          <t>Privacy</t>
        </is>
      </c>
      <c r="C74" s="9" t="inlineStr">
        <is>
          <t>Account deleted in the middle of a deal or chat</t>
        </is>
      </c>
      <c r="D74" s="8" t="inlineStr">
        <is>
          <t>Admin completes an erasure for a user who has an open chat, visit and contact request.</t>
        </is>
      </c>
      <c r="E74" s="8" t="inlineStr">
        <is>
          <t>The other side sees the person as removed; no personal data left; nothing breaks.</t>
        </is>
      </c>
      <c r="F74" s="10" t="n"/>
      <c r="G74" s="10" t="n"/>
      <c r="H74" s="11" t="inlineStr">
        <is>
          <t>Pass</t>
        </is>
      </c>
      <c r="I74" s="8" t="inlineStr">
        <is>
          <t>QA 2026-10-14 (by hand, agent-driven): Owner view after a tenant is erased: Pass - Lead now reads "A buyer"; name gone. || Earlier: Blocked: erasure completion is a manual admin step with legal checks; not executed on test data in this pass.</t>
        </is>
      </c>
      <c r="J74" s="8" t="inlineStr">
        <is>
          <t>Admin, all consumers</t>
        </is>
      </c>
      <c r="K74" s="8" t="inlineStr">
        <is>
          <t>High</t>
        </is>
      </c>
      <c r="L74" s="8" t="n"/>
      <c r="M74" s="8" t="inlineStr">
        <is>
          <t>Phone</t>
        </is>
      </c>
      <c r="N74" s="8" t="inlineStr">
        <is>
          <t>Manual</t>
        </is>
      </c>
    </row>
    <row r="75">
      <c r="A75" s="8" t="n">
        <v>74</v>
      </c>
      <c r="B75" s="8" t="inlineStr">
        <is>
          <t>Privacy</t>
        </is>
      </c>
      <c r="C75" s="9" t="inlineStr">
        <is>
          <t>Cookie and analytics consent</t>
        </is>
      </c>
      <c r="D75" s="8" t="inlineStr">
        <is>
          <t>First visit: refuse analytics cookies, browse, then accept.</t>
        </is>
      </c>
      <c r="E75" s="8" t="inlineStr">
        <is>
          <t>No analytics before you accept. Your choice is remembered.</t>
        </is>
      </c>
      <c r="F75" s="10" t="inlineStr">
        <is>
          <t>Open</t>
        </is>
      </c>
      <c r="G75" s="10" t="n"/>
      <c r="H75" s="11" t="inlineStr">
        <is>
          <t>Not tested</t>
        </is>
      </c>
      <c r="I75" s="8" t="inlineStr">
        <is>
          <t>RETEST: fixed in code + e2e on 2026-10-15 (QA-B01). Previous result: Fail. QA 2026-10-14 (by hand, agent-driven): QA-B01 (Low). Steps: Fresh visit (no consent saved) -&gt; Home -&gt; cookie banner -&gt; Customize. Phone 640x360 landscape (also 360x640 portrait). Expected: Whole panel visible or scrollable; title and Privacy Policy link reachable. Actual: Panel is bottom-anchored with overflow hidden and no max-height: at 640x360 the top 61px (title "Your privacy choices" + Privacy Policy link) is above the screen and cannot be scrolled to; at 360x640 the top 15px (icon) is clipped. Switches and buttons remain usable. Environment: Chromium 148 (VS Code browser), Guest, 640x360 and 360x640. Evidence: Manual; panel rect top=-61px h=349px at 640x360, top=-15px at 360x640 || Earlier: QA 2026-10-12: 5 automated browser checks passed (1 test file).</t>
        </is>
      </c>
      <c r="J75" s="8" t="inlineStr">
        <is>
          <t>Guest</t>
        </is>
      </c>
      <c r="K75" s="8" t="inlineStr">
        <is>
          <t>Medium</t>
        </is>
      </c>
      <c r="L75" s="8" t="inlineStr">
        <is>
          <t>QA-B01</t>
        </is>
      </c>
      <c r="M75" s="8" t="inlineStr">
        <is>
          <t>Phone</t>
        </is>
      </c>
      <c r="N75" s="8" t="inlineStr">
        <is>
          <t>Both</t>
        </is>
      </c>
    </row>
    <row r="76">
      <c r="A76" s="8" t="n">
        <v>75</v>
      </c>
      <c r="B76" s="8" t="inlineStr">
        <is>
          <t>Owner ↔ Buyer</t>
        </is>
      </c>
      <c r="C76" s="9" t="inlineStr">
        <is>
          <t>Buyer asks for the owner number</t>
        </is>
      </c>
      <c r="D76" s="8" t="inlineStr">
        <is>
          <t>As buyer, tap Contact Owner on a sale listing.</t>
        </is>
      </c>
      <c r="E76" s="8" t="inlineStr">
        <is>
          <t>Request shows "waiting for owner". Number stays hidden.</t>
        </is>
      </c>
      <c r="F76" s="10" t="n"/>
      <c r="G76" s="10" t="n"/>
      <c r="H76" s="11" t="inlineStr">
        <is>
          <t>Pass</t>
        </is>
      </c>
      <c r="I76" s="8" t="inlineStr">
        <is>
          <t>QA 2026-10-14 (by hand, agent-driven): Buyer asks for the owner's number: Pass - Chromium 390x844, /property/p5133 and p5130. Double-tap created exactly one request (owner list and DB) || Earlier: QA 2026-10-12: 1 direct server checks passed.</t>
        </is>
      </c>
      <c r="J76" s="8" t="inlineStr">
        <is>
          <t>Buyer</t>
        </is>
      </c>
      <c r="K76" s="8" t="inlineStr">
        <is>
          <t>Critical</t>
        </is>
      </c>
      <c r="L76" s="8" t="n"/>
      <c r="M76" s="8" t="inlineStr">
        <is>
          <t>Phone</t>
        </is>
      </c>
      <c r="N76" s="8" t="inlineStr">
        <is>
          <t>Manual</t>
        </is>
      </c>
    </row>
    <row r="77">
      <c r="A77" s="8" t="n">
        <v>76</v>
      </c>
      <c r="B77" s="8" t="inlineStr">
        <is>
          <t>Owner ↔ Buyer</t>
        </is>
      </c>
      <c r="C77" s="9" t="inlineStr">
        <is>
          <t>Owner approves the request</t>
        </is>
      </c>
      <c r="D77" s="8" t="inlineStr">
        <is>
          <t>As owner, open leads, approve the buyer request.</t>
        </is>
      </c>
      <c r="E77" s="8" t="inlineStr">
        <is>
          <t>Buyer gets an in-app notice and now sees the number on the listing.</t>
        </is>
      </c>
      <c r="F77" s="10" t="inlineStr">
        <is>
          <t>Open</t>
        </is>
      </c>
      <c r="G77" s="10" t="n"/>
      <c r="H77" s="11" t="inlineStr">
        <is>
          <t>Pass</t>
        </is>
      </c>
      <c r="I77" s="8" t="inlineStr">
        <is>
          <t>QA 2026-10-14 (by hand, agent-driven): Owner approves a number request and the buyer sees the number: Pass - Owner 1366x768, buyer 390x844 | Owner approves a number request: Pass - Toast "Accepted — you can chat now and see their number."; tenant sees +91 95300 47855. || Earlier: QA 2026-10-12: 3 direct server checks passed.</t>
        </is>
      </c>
      <c r="J77" s="8" t="inlineStr">
        <is>
          <t>Owner, Buyer</t>
        </is>
      </c>
      <c r="K77" s="8" t="inlineStr">
        <is>
          <t>Critical</t>
        </is>
      </c>
      <c r="L77" s="8" t="n"/>
      <c r="M77" s="8" t="inlineStr">
        <is>
          <t>Both</t>
        </is>
      </c>
      <c r="N77" s="8" t="inlineStr">
        <is>
          <t>Manual</t>
        </is>
      </c>
    </row>
    <row r="78">
      <c r="A78" s="8" t="n">
        <v>77</v>
      </c>
      <c r="B78" s="8" t="inlineStr">
        <is>
          <t>Owner ↔ Buyer</t>
        </is>
      </c>
      <c r="C78" s="9" t="inlineStr">
        <is>
          <t>Only the owner can approve</t>
        </is>
      </c>
      <c r="D78" s="8" t="inlineStr">
        <is>
          <t>As a third person, try to approve someone else's contact request.</t>
        </is>
      </c>
      <c r="E78" s="8" t="inlineStr">
        <is>
          <t>Refused.</t>
        </is>
      </c>
      <c r="F78" s="10" t="n"/>
      <c r="G78" s="10" t="n"/>
      <c r="H78" s="11" t="inlineStr">
        <is>
          <t>Pass</t>
        </is>
      </c>
      <c r="I78" s="8" t="inlineStr">
        <is>
          <t>QA 2026-10-12: 1 direct server checks passed. (Server-side check from the earlier pass; no screen involved, so automated evidence stands. Not repeated by hand.)</t>
        </is>
      </c>
      <c r="J78" s="8" t="inlineStr">
        <is>
          <t>Buyer</t>
        </is>
      </c>
      <c r="K78" s="8" t="inlineStr">
        <is>
          <t>Critical</t>
        </is>
      </c>
      <c r="L78" s="8" t="n"/>
      <c r="M78" s="8" t="inlineStr">
        <is>
          <t>Both</t>
        </is>
      </c>
      <c r="N78" s="8" t="inlineStr">
        <is>
          <t>Automated</t>
        </is>
      </c>
    </row>
    <row r="79">
      <c r="A79" s="8" t="n">
        <v>78</v>
      </c>
      <c r="B79" s="8" t="inlineStr">
        <is>
          <t>Owner ↔ Buyer</t>
        </is>
      </c>
      <c r="C79" s="9" t="inlineStr">
        <is>
          <t>Verified-only owners</t>
        </is>
      </c>
      <c r="D79" s="8" t="inlineStr">
        <is>
          <t>Owner turns on "verified buyers only". An unverified buyer asks for contact.</t>
        </is>
      </c>
      <c r="E79" s="8" t="inlineStr">
        <is>
          <t>Buyer is asked to verify identity first.</t>
        </is>
      </c>
      <c r="F79" s="10" t="n"/>
      <c r="G79" s="10" t="n"/>
      <c r="H79" s="11" t="inlineStr">
        <is>
          <t>Pass</t>
        </is>
      </c>
      <c r="I79" s="8" t="inlineStr">
        <is>
          <t>QA 2026-10-15 (by hand, agent-driven Chromium): rent owner 9605139197 at 390x844 opened Profile &gt; Owner contact preferences and turned on "Accept verified contacts only" (saved at once, "Privacy preference updated" when turned off again). A new unverified buyer at 1366x768 tapped Contact Owner &gt; Request number: the Verify identity sheet opened instead (Start &gt; Capture &gt; Review &gt; Status). Server refuses the same request by API: 403 verification_required. Small gap: the first verify screen does not say why (owner accepts verified contacts only). Switched back off after the test.</t>
        </is>
      </c>
      <c r="J79" s="8" t="inlineStr">
        <is>
          <t>Owner, Buyer</t>
        </is>
      </c>
      <c r="K79" s="8" t="inlineStr">
        <is>
          <t>High</t>
        </is>
      </c>
      <c r="L79" s="8" t="n"/>
      <c r="M79" s="8" t="inlineStr">
        <is>
          <t>Both</t>
        </is>
      </c>
      <c r="N79" s="8" t="inlineStr">
        <is>
          <t>Manual</t>
        </is>
      </c>
    </row>
    <row r="80">
      <c r="A80" s="8" t="n">
        <v>79</v>
      </c>
      <c r="B80" s="8" t="inlineStr">
        <is>
          <t>Owner ↔ Buyer</t>
        </is>
      </c>
      <c r="C80" s="9" t="inlineStr">
        <is>
          <t>Chat both ways</t>
        </is>
      </c>
      <c r="D80" s="8" t="inlineStr">
        <is>
          <t>After approval, buyer sends a message; owner replies.</t>
        </is>
      </c>
      <c r="E80" s="8" t="inlineStr">
        <is>
          <t>Both see the full conversation in Messages.</t>
        </is>
      </c>
      <c r="F80" s="10" t="inlineStr">
        <is>
          <t>Open</t>
        </is>
      </c>
      <c r="G80" s="10" t="n"/>
      <c r="H80" s="11" t="inlineStr">
        <is>
          <t>Pass</t>
        </is>
      </c>
      <c r="I80" s="8" t="inlineStr">
        <is>
          <t>QA 2026-10-15 (by hand, agent-driven Chromium): buyer at 390x844 sent via the Send button (Enter makes a new line on phone, as designed), owner at 1366x768 replied with Enter; both see the full thread after reload. Double-tap Send made one message. "&lt;script&gt;"/"&lt;img onerror&gt;" text shows as plain text, nothing injected. Owner sees buyer-style quick replies (QA-B29, Low).</t>
        </is>
      </c>
      <c r="J80" s="8" t="inlineStr">
        <is>
          <t>Owner, Buyer</t>
        </is>
      </c>
      <c r="K80" s="8" t="inlineStr">
        <is>
          <t>High</t>
        </is>
      </c>
      <c r="L80" s="8" t="inlineStr">
        <is>
          <t>QA-B29</t>
        </is>
      </c>
      <c r="M80" s="8" t="inlineStr">
        <is>
          <t>Both</t>
        </is>
      </c>
      <c r="N80" s="8" t="inlineStr">
        <is>
          <t>Both</t>
        </is>
      </c>
    </row>
    <row r="81">
      <c r="A81" s="8" t="n">
        <v>80</v>
      </c>
      <c r="B81" s="8" t="inlineStr">
        <is>
          <t>Owner ↔ Buyer</t>
        </is>
      </c>
      <c r="C81" s="9" t="inlineStr">
        <is>
          <t>Block and unblock</t>
        </is>
      </c>
      <c r="D81" s="8" t="inlineStr">
        <is>
          <t>Owner blocks the buyer; buyer tries to message. Owner unblocks; buyer messages.</t>
        </is>
      </c>
      <c r="E81" s="8" t="inlineStr">
        <is>
          <t>Blocked: buyer gets "You can't message this user". After unblock it works.</t>
        </is>
      </c>
      <c r="F81" s="10" t="inlineStr">
        <is>
          <t>Open</t>
        </is>
      </c>
      <c r="G81" s="10" t="n"/>
      <c r="H81" s="11" t="inlineStr">
        <is>
          <t>Pass</t>
        </is>
      </c>
      <c r="I81" s="8" t="inlineStr">
        <is>
          <t>QA 2026-10-15 (by hand, agent-driven Chromium): owner at 1366x768 used the chat menu (⋮ &gt; Block); buyer at 390x844 sent a message: server refused (403), bubble shows "Not sent - Tap to retry" and "You can't message this user"; owner never received it. Owner unblocked (⋮ &gt; Unblock); buyer's next message arrived (201). Cosmetic: the blocked notice squeezes the phone message box (QA-B30, Low).</t>
        </is>
      </c>
      <c r="J81" s="8" t="inlineStr">
        <is>
          <t>Owner, Buyer</t>
        </is>
      </c>
      <c r="K81" s="8" t="inlineStr">
        <is>
          <t>High</t>
        </is>
      </c>
      <c r="L81" s="8" t="inlineStr">
        <is>
          <t>QA-B30</t>
        </is>
      </c>
      <c r="M81" s="8" t="inlineStr">
        <is>
          <t>Both</t>
        </is>
      </c>
      <c r="N81" s="8" t="inlineStr">
        <is>
          <t>Manual</t>
        </is>
      </c>
    </row>
    <row r="82">
      <c r="A82" s="8" t="n">
        <v>81</v>
      </c>
      <c r="B82" s="8" t="inlineStr">
        <is>
          <t>Owner ↔ Buyer</t>
        </is>
      </c>
      <c r="C82" s="9" t="inlineStr">
        <is>
          <t>Offers and deals</t>
        </is>
      </c>
      <c r="D82" s="8" t="inlineStr">
        <is>
          <t>Buyer makes an offer; owner accepts / counters / rejects; deal closes.</t>
        </is>
      </c>
      <c r="E82" s="8" t="inlineStr">
        <is>
          <t>Each step shows to both sides with the right status.</t>
        </is>
      </c>
      <c r="F82" s="10" t="inlineStr">
        <is>
          <t>Open</t>
        </is>
      </c>
      <c r="G82" s="10" t="n"/>
      <c r="H82" s="11" t="inlineStr">
        <is>
          <t>Pass</t>
        </is>
      </c>
      <c r="I82" s="8" t="inlineStr">
        <is>
          <t>QA 2026-10-15 (by hand, agent-driven Chromium): buyer at 390x844 offered ₹75 L &gt; owner at 1366x768 Countered ₹77 L (browser pop-up box) &gt; buyer "Agree at ₹77,00,000" &gt; owner Accept ("Accepted by owner 🎉" for buyer) &gt; buyer Request to Finalize &gt; owner Accept &gt; listing shows "This property is sold" to everyone. Owner Decline of a second offer removed it. Each step showed on both sides. Defects found along the way: ₹1 offers accepted (QA-B33), Revise still offered after acceptance (QA-B34), finalize records ₹79 L not the agreed ₹77 L (QA-B35).</t>
        </is>
      </c>
      <c r="J82" s="8" t="inlineStr">
        <is>
          <t>Owner, Buyer</t>
        </is>
      </c>
      <c r="K82" s="8" t="inlineStr">
        <is>
          <t>High</t>
        </is>
      </c>
      <c r="L82" s="8" t="inlineStr">
        <is>
          <t>QA-B33; QA-B34; QA-B35</t>
        </is>
      </c>
      <c r="M82" s="8" t="inlineStr">
        <is>
          <t>Both</t>
        </is>
      </c>
      <c r="N82" s="8" t="inlineStr">
        <is>
          <t>Manual</t>
        </is>
      </c>
    </row>
    <row r="83">
      <c r="A83" s="8" t="n">
        <v>82</v>
      </c>
      <c r="B83" s="8" t="inlineStr">
        <is>
          <t>Owner ↔ Buyer</t>
        </is>
      </c>
      <c r="C83" s="9" t="inlineStr">
        <is>
          <t>Visit: accept, reschedule, cancel</t>
        </is>
      </c>
      <c r="D83" s="8" t="inlineStr">
        <is>
          <t>Buyer books a visit; owner accepts; buyer moves it; one side cancels.</t>
        </is>
      </c>
      <c r="E83" s="8" t="inlineStr">
        <is>
          <t>Every change shows to both sides with a notice. Odd statuses are refused.</t>
        </is>
      </c>
      <c r="F83" s="10" t="inlineStr">
        <is>
          <t>Open</t>
        </is>
      </c>
      <c r="G83" s="10" t="n"/>
      <c r="H83" s="11" t="inlineStr">
        <is>
          <t>Pass</t>
        </is>
      </c>
      <c r="I83" s="8" t="inlineStr">
        <is>
          <t>QA 2026-10-15 (by hand, agent-driven Chromium): buyer at 390x844 booked a visit (double-tap Confirm Visit = one booking) &gt; owner at 1366x768 tapped Confirm ("Visit confirmed"; buyer notice "Your visit is confirmed") &gt; buyer Rescheduled to 22 Oct ("Visit rescheduled", back to Awaiting confirmation; owner notice "The visitor proposed a new slot") &gt; owner Cancel ("Visit cancelled"; buyer notice "The owner cancelled the visit"). Buyer trying to set status "completed" by API: 403. Gaps: owner Cancel has no confirm step; buyer's visit message never reaches the owner (QA-B32); Esc in the picker closes the sheet (QA-B31).</t>
        </is>
      </c>
      <c r="J83" s="8" t="inlineStr">
        <is>
          <t>Owner, Buyer</t>
        </is>
      </c>
      <c r="K83" s="8" t="inlineStr">
        <is>
          <t>High</t>
        </is>
      </c>
      <c r="L83" s="8" t="inlineStr">
        <is>
          <t>QA-B31; QA-B32</t>
        </is>
      </c>
      <c r="M83" s="8" t="inlineStr">
        <is>
          <t>Both</t>
        </is>
      </c>
      <c r="N83" s="8" t="inlineStr">
        <is>
          <t>Manual</t>
        </is>
      </c>
    </row>
    <row r="84">
      <c r="A84" s="8" t="n">
        <v>83</v>
      </c>
      <c r="B84" s="8" t="inlineStr">
        <is>
          <t>Owner ↔ Buyer</t>
        </is>
      </c>
      <c r="C84" s="9" t="inlineStr">
        <is>
          <t>Visit booked in the past</t>
        </is>
      </c>
      <c r="D84" s="8" t="inlineStr">
        <is>
          <t>Book a visit for yesterday, or move an existing visit to yesterday.</t>
        </is>
      </c>
      <c r="E84" s="8" t="inlineStr">
        <is>
          <t>Refused: "pick a future date".</t>
        </is>
      </c>
      <c r="F84" s="10" t="n"/>
      <c r="G84" s="10" t="n"/>
      <c r="H84" s="11" t="inlineStr">
        <is>
          <t>Pass</t>
        </is>
      </c>
      <c r="I84" s="8" t="inlineStr">
        <is>
          <t>QA 2026-10-15 (by hand, agent-driven Chromium, 390x844 + 1366x768): in both the booking and the reschedule date pickers every past day is greyed out and cannot be tapped. By API, booking or moving a visit to 13 Oct is refused 422 "must be a future date".</t>
        </is>
      </c>
      <c r="J84" s="8" t="inlineStr">
        <is>
          <t>Buyer, Tenant</t>
        </is>
      </c>
      <c r="K84" s="8" t="inlineStr">
        <is>
          <t>Medium</t>
        </is>
      </c>
      <c r="L84" s="8" t="inlineStr">
        <is>
          <t>QA-03</t>
        </is>
      </c>
      <c r="M84" s="8" t="inlineStr">
        <is>
          <t>Both</t>
        </is>
      </c>
      <c r="N84" s="8" t="inlineStr">
        <is>
          <t>Both</t>
        </is>
      </c>
    </row>
    <row r="85">
      <c r="A85" s="8" t="n">
        <v>84</v>
      </c>
      <c r="B85" s="8" t="inlineStr">
        <is>
          <t>Owner ↔ Buyer</t>
        </is>
      </c>
      <c r="C85" s="9" t="inlineStr">
        <is>
          <t>Visit no-show</t>
        </is>
      </c>
      <c r="D85" s="8" t="inlineStr">
        <is>
          <t>Owner: confirm a visit, then on Dashboard &gt; Visits after the visit day tap "Didn't come".</t>
        </is>
      </c>
      <c r="E85" s="8" t="inlineStr">
        <is>
          <t>The visit moves to Cancelled with a "No-show" label for both sides; the button shows only on a confirmed visit whose day has passed.</t>
        </is>
      </c>
      <c r="F85" s="10" t="inlineStr">
        <is>
          <t>Open</t>
        </is>
      </c>
      <c r="G85" s="10" t="n"/>
      <c r="H85" s="11" t="inlineStr">
        <is>
          <t>Not tested</t>
        </is>
      </c>
      <c r="I85" s="8" t="inlineStr">
        <is>
          <t xml:space="preserve">Decided 2026-10-15: the owner gets a "Didn't come" button (built + e2e). Previous result: Blocked (no button). </t>
        </is>
      </c>
      <c r="J85" s="8" t="inlineStr">
        <is>
          <t>Owner, Buyer</t>
        </is>
      </c>
      <c r="K85" s="8" t="inlineStr">
        <is>
          <t>Low</t>
        </is>
      </c>
      <c r="L85" s="8" t="inlineStr">
        <is>
          <t>MT-19</t>
        </is>
      </c>
      <c r="M85" s="8" t="inlineStr">
        <is>
          <t>Both</t>
        </is>
      </c>
      <c r="N85" s="8" t="inlineStr">
        <is>
          <t>Manual</t>
        </is>
      </c>
    </row>
    <row r="86">
      <c r="A86" s="8" t="n">
        <v>85</v>
      </c>
      <c r="B86" s="8" t="inlineStr">
        <is>
          <t>Owner ↔ Buyer</t>
        </is>
      </c>
      <c r="C86" s="9" t="inlineStr">
        <is>
          <t>Listing sold or archived mid-flow</t>
        </is>
      </c>
      <c r="D86" s="8" t="inlineStr">
        <is>
          <t>Buyer has a visit booked. Owner archives (sold) the listing. Buyer opens it and tries to book again.</t>
        </is>
      </c>
      <c r="E86" s="8" t="inlineStr">
        <is>
          <t>Listing is gone for the public; no new visits can be booked.</t>
        </is>
      </c>
      <c r="F86" s="10" t="n"/>
      <c r="G86" s="10" t="n"/>
      <c r="H86" s="11" t="inlineStr">
        <is>
          <t>Pass</t>
        </is>
      </c>
      <c r="I86" s="8" t="inlineStr">
        <is>
          <t>QA 2026-10-15 (by hand, agent-driven Chromium): after the owner closed the deal, a second buyer with an approved contact (390x844) and a guest (1366x768) both see "This property is sold … closed for new enquiries" with no Visit, Contact or Offer buttons. Server: properties.status=sold.</t>
        </is>
      </c>
      <c r="J86" s="8" t="inlineStr">
        <is>
          <t>Owner, Buyer</t>
        </is>
      </c>
      <c r="K86" s="8" t="inlineStr">
        <is>
          <t>High</t>
        </is>
      </c>
      <c r="L86" s="8" t="n"/>
      <c r="M86" s="8" t="inlineStr">
        <is>
          <t>Both</t>
        </is>
      </c>
      <c r="N86" s="8" t="inlineStr">
        <is>
          <t>Both</t>
        </is>
      </c>
    </row>
    <row r="87">
      <c r="A87" s="8" t="n">
        <v>86</v>
      </c>
      <c r="B87" s="8" t="inlineStr">
        <is>
          <t>Owner ↔ Buyer</t>
        </is>
      </c>
      <c r="C87" s="9" t="inlineStr">
        <is>
          <t>Booked visits when a listing is archived</t>
        </is>
      </c>
      <c r="D87" s="8" t="inlineStr">
        <is>
          <t>Buyer has a visit booked. Owner archives the listing. Buyer opens My visits.</t>
        </is>
      </c>
      <c r="E87" s="8" t="inlineStr">
        <is>
          <t>The visit is cancelled (or clearly marked "listing removed") and the buyer is told.</t>
        </is>
      </c>
      <c r="F87" s="10" t="inlineStr">
        <is>
          <t>Open</t>
        </is>
      </c>
      <c r="G87" s="10" t="n"/>
      <c r="H87" s="11" t="inlineStr">
        <is>
          <t>Pass</t>
        </is>
      </c>
      <c r="I87" s="8" t="inlineStr">
        <is>
          <t>QA 2026-10-15 (by hand): a new buyer booked a visit (set up by API) on an owner's live listing; buyer's My visits showed it "Awaiting owner". Owner pressed Take down in My Properties (390x844 and 1366x768) and accepted "Take ... down? Buyers will stop seeing it." Buyer then opened My visits: "Nothing scheduled right now"; Notifications shows "A visit was cancelled - The listing you booked was taken down, so your visit is cancelled."; the old listing link says "Property not found". Evidence mt41-*-buyer-visits-after-takedown.png.</t>
        </is>
      </c>
      <c r="J87" s="8" t="inlineStr">
        <is>
          <t>Owner, Buyer, Tenant</t>
        </is>
      </c>
      <c r="K87" s="8" t="inlineStr">
        <is>
          <t>Medium</t>
        </is>
      </c>
      <c r="L87" s="8" t="n"/>
      <c r="M87" s="8" t="inlineStr">
        <is>
          <t>Both</t>
        </is>
      </c>
      <c r="N87" s="8" t="inlineStr">
        <is>
          <t>Both</t>
        </is>
      </c>
    </row>
    <row r="88">
      <c r="A88" s="8" t="n">
        <v>87</v>
      </c>
      <c r="B88" s="8" t="inlineStr">
        <is>
          <t>Owner ↔ Buyer</t>
        </is>
      </c>
      <c r="C88" s="9" t="inlineStr">
        <is>
          <t>Owner suspended mid-flow</t>
        </is>
      </c>
      <c r="D88" s="8" t="inlineStr">
        <is>
          <t>Admin suspends an owner with a live listing. A buyer opens it and books a visit.</t>
        </is>
      </c>
      <c r="E88" s="8" t="inlineStr">
        <is>
          <t>Listing is hidden or clearly paused; no new visit or contact requests go to a suspended owner.</t>
        </is>
      </c>
      <c r="F88" s="10" t="n"/>
      <c r="G88" s="10" t="n"/>
      <c r="H88" s="11" t="inlineStr">
        <is>
          <t>Pass</t>
        </is>
      </c>
      <c r="I88" s="8" t="inlineStr">
        <is>
          <t>QA 2026-10-15 (by hand): admin suspended owner 9708919481 (one live rent listing in Balewadi) in Admin &gt; Users. Buyer at 390x844 and 1366x768: the listing's link now says "Property not found" with no contact or visit buttons, and it is gone from Rent search in Balewadi (3 -&gt; 2 results). After Reactivate it is back. Evidence mt41-*-suspended-owner-listing.png.</t>
        </is>
      </c>
      <c r="J88" s="8" t="inlineStr">
        <is>
          <t>Admin, Owner, Buyer</t>
        </is>
      </c>
      <c r="K88" s="8" t="inlineStr">
        <is>
          <t>Medium</t>
        </is>
      </c>
      <c r="L88" s="8" t="n"/>
      <c r="M88" s="8" t="inlineStr">
        <is>
          <t>Both</t>
        </is>
      </c>
      <c r="N88" s="8" t="inlineStr">
        <is>
          <t>Both</t>
        </is>
      </c>
    </row>
    <row r="89">
      <c r="A89" s="8" t="n">
        <v>88</v>
      </c>
      <c r="B89" s="8" t="inlineStr">
        <is>
          <t>Owner ↔ Buyer</t>
        </is>
      </c>
      <c r="C89" s="9" t="inlineStr">
        <is>
          <t>Buyer suspended mid-flow</t>
        </is>
      </c>
      <c r="D89" s="8" t="inlineStr">
        <is>
          <t>Admin suspends a buyer who is chatting with an owner. Owner replies.</t>
        </is>
      </c>
      <c r="E89" s="8" t="inlineStr">
        <is>
          <t>Owner can still reply (message waits); buyer cannot sign in.</t>
        </is>
      </c>
      <c r="F89" s="10" t="inlineStr">
        <is>
          <t>Open</t>
        </is>
      </c>
      <c r="G89" s="10" t="n"/>
      <c r="H89" s="11" t="inlineStr">
        <is>
          <t>Pass</t>
        </is>
      </c>
      <c r="I89" s="8" t="inlineStr">
        <is>
          <t>QA 2026-10-15 (by hand): admin suspended buyers 9700000001 and 9712728163 in Admin &gt; Users. Their owners (9470744469 at 390x844, 9596499088 at 1366x768) opened Messages, the thread showed no block, and a typed reply sent (POST 201) and showed in the thread. The suspended buyer is refused at sign-in (message seen in row 52 test). After Reactivate the buyer opened Messages and saw the waiting reply. Evidence mt41-*-owner-replies-suspended-buyer.png, mt41-*-buyer-sees-waiting-reply.png.</t>
        </is>
      </c>
      <c r="J89" s="8" t="inlineStr">
        <is>
          <t>Admin, Owner, Buyer</t>
        </is>
      </c>
      <c r="K89" s="8" t="inlineStr">
        <is>
          <t>Low</t>
        </is>
      </c>
      <c r="L89" s="8" t="n"/>
      <c r="M89" s="8" t="inlineStr">
        <is>
          <t>Both</t>
        </is>
      </c>
      <c r="N89" s="8" t="inlineStr">
        <is>
          <t>Both</t>
        </is>
      </c>
    </row>
    <row r="90">
      <c r="A90" s="8" t="n">
        <v>89</v>
      </c>
      <c r="B90" s="8" t="inlineStr">
        <is>
          <t>Owner ↔ Tenant</t>
        </is>
      </c>
      <c r="C90" s="9" t="inlineStr">
        <is>
          <t>Tenant profile shared with owner</t>
        </is>
      </c>
      <c r="D90" s="8" t="inlineStr">
        <is>
          <t>Tenant fills tenant profile and asks for contact on a rent listing. Owner opens the lead.</t>
        </is>
      </c>
      <c r="E90" s="8" t="inlineStr">
        <is>
          <t>Owner sees the tenant's name, the listing and the request date. No phone number and no other profile details are shown until the owner approves.</t>
        </is>
      </c>
      <c r="F90" s="10" t="inlineStr">
        <is>
          <t>Open</t>
        </is>
      </c>
      <c r="G90" s="10" t="n"/>
      <c r="H90" s="11" t="inlineStr">
        <is>
          <t>Pass</t>
        </is>
      </c>
      <c r="I90" s="8" t="inlineStr">
        <is>
          <t>QA 2026-10-15 (by hand, agent-driven Chromium). Tenant (390) requested number on rent listing; owner opened the lead at 1366 and 390: sees tenant name, "Number request", listing, date; no phone. After owner Accept (1366) tenant (390) sees "+91 …" with WhatsApp/Chat. Tenant-profile details are deliberately not shared (help: managing-leads) so "What should happen" should read "Owner sees the tenant's name and request (no profile details, no phone until approved)". Masked mobile missing: QA-B39.</t>
        </is>
      </c>
      <c r="J90" s="8" t="inlineStr">
        <is>
          <t>Owner, Tenant</t>
        </is>
      </c>
      <c r="K90" s="8" t="inlineStr">
        <is>
          <t>High</t>
        </is>
      </c>
      <c r="L90" s="8" t="inlineStr">
        <is>
          <t>QA-B39</t>
        </is>
      </c>
      <c r="M90" s="8" t="inlineStr">
        <is>
          <t>Both</t>
        </is>
      </c>
      <c r="N90" s="8" t="inlineStr">
        <is>
          <t>Both</t>
        </is>
      </c>
    </row>
    <row r="91">
      <c r="A91" s="8" t="n">
        <v>90</v>
      </c>
      <c r="B91" s="8" t="inlineStr">
        <is>
          <t>Owner ↔ Tenant</t>
        </is>
      </c>
      <c r="C91" s="9" t="inlineStr">
        <is>
          <t>Tenant says "I live here"</t>
        </is>
      </c>
      <c r="D91" s="8" t="inlineStr">
        <is>
          <t>Tenant declares tenancy on a listing; owner confirms. A stranger tries to read or confirm it.</t>
        </is>
      </c>
      <c r="E91" s="8" t="inlineStr">
        <is>
          <t>Owner and tenant see it; stranger sees nothing and cannot confirm.</t>
        </is>
      </c>
      <c r="F91" s="10" t="n"/>
      <c r="G91" s="10" t="n"/>
      <c r="H91" s="11" t="inlineStr">
        <is>
          <t>Pass</t>
        </is>
      </c>
      <c r="I91" s="8" t="inlineStr">
        <is>
          <t>QA 2026-10-15. Tenant (390) Property &gt; Amenities tab &gt; "I lived here" (double tap = one claim) &gt; "Waiting for the owner to confirm". Owner (1366) sees "People who say they lived here: Qa Tenant Rao" &gt; Confirm &gt; "Confirmed / Withdraw". Tenant can then open Rate this property. Stranger API: list = empty, confirm = 404; tenant self-confirm 404; guest 401.</t>
        </is>
      </c>
      <c r="J91" s="8" t="inlineStr">
        <is>
          <t>Owner, Tenant</t>
        </is>
      </c>
      <c r="K91" s="8" t="inlineStr">
        <is>
          <t>High</t>
        </is>
      </c>
      <c r="L91" s="8" t="n"/>
      <c r="M91" s="8" t="inlineStr">
        <is>
          <t>Both</t>
        </is>
      </c>
      <c r="N91" s="8" t="inlineStr">
        <is>
          <t>Manual</t>
        </is>
      </c>
    </row>
    <row r="92">
      <c r="A92" s="8" t="n">
        <v>91</v>
      </c>
      <c r="B92" s="8" t="inlineStr">
        <is>
          <t>Owner ↔ Tenant</t>
        </is>
      </c>
      <c r="C92" s="9" t="inlineStr">
        <is>
          <t>Rent agreement both sides</t>
        </is>
      </c>
      <c r="D92" s="8" t="inlineStr">
        <is>
          <t>Owner starts a rent agreement, tenant fills their part, submit.</t>
        </is>
      </c>
      <c r="E92" s="8" t="inlineStr">
        <is>
          <t>Both see the agreement; request reaches the drafting desk.</t>
        </is>
      </c>
      <c r="F92" s="10" t="inlineStr">
        <is>
          <t>Open</t>
        </is>
      </c>
      <c r="G92" s="10" t="n"/>
      <c r="H92" s="11" t="inlineStr">
        <is>
          <t>Not tested</t>
        </is>
      </c>
      <c r="I92" s="8" t="inlineStr">
        <is>
          <t>QA 2026-10-16 (automated, live API + browser): consumer/services/rent-agreement-cofill and ops/registration-check (co-fill tenant accepts, both sides approve, request reaches the desk after a settled payment) green. Real-device and live Cashfree retest still outstanding (no sandbox keys here). RETEST: payment now possible in the sandbox (SB-01 done) and QA-B40 fixed, 2026-10-15. Previous result: Blocked. QA 2026-10-15. Owner (390) filled the agreement and invited the tenant (one request, awaiting-payment); tenant (1366) got "Action needed: complete your rent agreement", filled only the Tenant step (owner parts view-only), Generate &gt; PUT 200; owner (1366 &amp; 390) sees "Your tenant has filled in their part … Pay ₹2,699". Reaching the drafting desk needs the ₹2,699 payment, which cannot be made (no live/sandbox Cashfree), so the desk step is Blocked (desk shows "Nothing waiting to be picked up"). Copy issue QA-B40.</t>
        </is>
      </c>
      <c r="J92" s="8" t="inlineStr">
        <is>
          <t>Owner, Tenant</t>
        </is>
      </c>
      <c r="K92" s="8" t="inlineStr">
        <is>
          <t>High</t>
        </is>
      </c>
      <c r="L92" s="8" t="inlineStr">
        <is>
          <t>QA-B40</t>
        </is>
      </c>
      <c r="M92" s="8" t="inlineStr">
        <is>
          <t>Both</t>
        </is>
      </c>
      <c r="N92" s="8" t="inlineStr">
        <is>
          <t>Manual</t>
        </is>
      </c>
    </row>
    <row r="93">
      <c r="A93" s="8" t="n">
        <v>92</v>
      </c>
      <c r="B93" s="8" t="inlineStr">
        <is>
          <t>Owner ↔ Tenant</t>
        </is>
      </c>
      <c r="C93" s="9" t="inlineStr">
        <is>
          <t>Rent money tracking &amp; receipts</t>
        </is>
      </c>
      <c r="D93" s="8" t="inlineStr">
        <is>
          <t>Owner opens finances; tenant opens My rental; create a rent receipt.</t>
        </is>
      </c>
      <c r="E93" s="8" t="inlineStr">
        <is>
          <t>Amounts match on both sides; receipt downloads.</t>
        </is>
      </c>
      <c r="F93" s="10" t="inlineStr">
        <is>
          <t>Open</t>
        </is>
      </c>
      <c r="G93" s="10" t="n"/>
      <c r="H93" s="11" t="inlineStr">
        <is>
          <t>Pass</t>
        </is>
      </c>
      <c r="I93" s="8" t="inlineStr">
        <is>
          <t>QA 2026-10-15. Owner closed the rental from Dashboard &gt; My Properties &gt; Finalize rental (390); tenant (390) got "Confirm your tenancy" &gt; Confirm &gt; Rental shows Active tenancy, Monthly rent ₹26,000, Rent for Oct 2026 ₹26,000. Owner (1366) Finances &gt; Add transaction Rent received ₹26,000 shows in ledger. Rent receipt tool (390 &amp; 1366): Print/Save as PDF disabled until filled, then one receipt ₹26,000 and print dialog opens; script text in address shown as plain text. Double-save defect QA-B43; date/empty-form issues QA-B44.</t>
        </is>
      </c>
      <c r="J93" s="8" t="inlineStr">
        <is>
          <t>Owner, Tenant</t>
        </is>
      </c>
      <c r="K93" s="8" t="inlineStr">
        <is>
          <t>Medium</t>
        </is>
      </c>
      <c r="L93" s="8" t="inlineStr">
        <is>
          <t>QA-B43</t>
        </is>
      </c>
      <c r="M93" s="8" t="inlineStr">
        <is>
          <t>Both</t>
        </is>
      </c>
      <c r="N93" s="8" t="inlineStr">
        <is>
          <t>Manual</t>
        </is>
      </c>
    </row>
    <row r="94">
      <c r="A94" s="8" t="n">
        <v>93</v>
      </c>
      <c r="B94" s="8" t="inlineStr">
        <is>
          <t>Owner ↔ Tenant</t>
        </is>
      </c>
      <c r="C94" s="9" t="inlineStr">
        <is>
          <t>Pay rent online</t>
        </is>
      </c>
      <c r="D94" s="8" t="inlineStr">
        <is>
          <t>Open Pay Rent.</t>
        </is>
      </c>
      <c r="E94" s="8" t="inlineStr">
        <is>
          <t>Shows "Coming soon". No payment can be started.</t>
        </is>
      </c>
      <c r="F94" s="10" t="inlineStr">
        <is>
          <t>Open</t>
        </is>
      </c>
      <c r="G94" s="10" t="n"/>
      <c r="H94" s="11" t="inlineStr">
        <is>
          <t>Pass</t>
        </is>
      </c>
      <c r="I94" s="8" t="inlineStr">
        <is>
          <t>QA 2026-10-15. Tenant opened /pay-rent at 390 and 1366: "Coming soon — Rent payments are almost here"; only "What's launching" / "Create a rent agreement"; no payment request in the network log. Dashboard &gt; Rental shows "Pay rent · Coming soon".</t>
        </is>
      </c>
      <c r="J94" s="8" t="inlineStr">
        <is>
          <t>Tenant</t>
        </is>
      </c>
      <c r="K94" s="8" t="inlineStr">
        <is>
          <t>Low</t>
        </is>
      </c>
      <c r="L94" s="8" t="inlineStr">
        <is>
          <t>SB-01</t>
        </is>
      </c>
      <c r="M94" s="8" t="inlineStr">
        <is>
          <t>Both</t>
        </is>
      </c>
      <c r="N94" s="8" t="inlineStr">
        <is>
          <t>Manual</t>
        </is>
      </c>
    </row>
    <row r="95">
      <c r="A95" s="8" t="n">
        <v>94</v>
      </c>
      <c r="B95" s="8" t="inlineStr">
        <is>
          <t>Owner ↔ Tenant</t>
        </is>
      </c>
      <c r="C95" s="9" t="inlineStr">
        <is>
          <t>Tenant blocked or reported</t>
        </is>
      </c>
      <c r="D95" s="8" t="inlineStr">
        <is>
          <t>Owner blocks a tenant in chat and reports them.</t>
        </is>
      </c>
      <c r="E95" s="8" t="inlineStr">
        <is>
          <t>Tenant cannot message; report reaches staff.</t>
        </is>
      </c>
      <c r="F95" s="10" t="inlineStr">
        <is>
          <t>Open</t>
        </is>
      </c>
      <c r="G95" s="10" t="n"/>
      <c r="H95" s="11" t="inlineStr">
        <is>
          <t>Not tested</t>
        </is>
      </c>
      <c r="I95" s="8" t="inlineStr">
        <is>
          <t>RETEST: fixed in code + e2e on 2026-10-15 (QA-B64). Previous result: Fail. Retested by hand 2026-10-15 (see row 267): block works (tenant refused with 403 and a clear message), but the owner's report of the tenant reaches staff as a report on the owner's own listing id; staff cannot see who was reported and Suspend fails "That decision could not be saved". Env: owner desktop 1366, tenant phone 390, staff desktop 1366, Chromium. Evidence mt27-d1366-staff-user-reports.png.</t>
        </is>
      </c>
      <c r="J95" s="8" t="inlineStr">
        <is>
          <t>Owner, Tenant</t>
        </is>
      </c>
      <c r="K95" s="8" t="inlineStr">
        <is>
          <t>High</t>
        </is>
      </c>
      <c r="L95" s="8" t="inlineStr">
        <is>
          <t>QA-B64</t>
        </is>
      </c>
      <c r="M95" s="8" t="inlineStr">
        <is>
          <t>Both</t>
        </is>
      </c>
      <c r="N95" s="8" t="inlineStr">
        <is>
          <t>Manual</t>
        </is>
      </c>
    </row>
    <row r="96">
      <c r="A96" s="8" t="n">
        <v>95</v>
      </c>
      <c r="B96" s="8" t="inlineStr">
        <is>
          <t>Staff – Listing review</t>
        </is>
      </c>
      <c r="C96" s="9" t="inlineStr">
        <is>
          <t>New listing waits for review</t>
        </is>
      </c>
      <c r="D96" s="8" t="inlineStr">
        <is>
          <t>Owner submits a listing. Staff opens Properties queue.</t>
        </is>
      </c>
      <c r="E96" s="8" t="inlineStr">
        <is>
          <t>Listing is "Under review", not public, and is in the staff queue.</t>
        </is>
      </c>
      <c r="F96" s="10" t="inlineStr">
        <is>
          <t>Open</t>
        </is>
      </c>
      <c r="G96" s="10" t="n"/>
      <c r="H96" s="11" t="inlineStr">
        <is>
          <t>Pass</t>
        </is>
      </c>
      <c r="I96" s="8" t="inlineStr">
        <is>
          <t>QA 2026-10-14 (by hand, agent-driven): Rental staff saw new listings in "To verify" at 1366. || Earlier: QA 2026-10-12: 31 automated browser checks passed (4 test files).</t>
        </is>
      </c>
      <c r="J96" s="8" t="inlineStr">
        <is>
          <t>Owner, Staff</t>
        </is>
      </c>
      <c r="K96" s="8" t="inlineStr">
        <is>
          <t>Critical</t>
        </is>
      </c>
      <c r="L96" s="8" t="n"/>
      <c r="M96" s="8" t="inlineStr">
        <is>
          <t>Desktop</t>
        </is>
      </c>
      <c r="N96" s="8" t="inlineStr">
        <is>
          <t>Both</t>
        </is>
      </c>
    </row>
    <row r="97">
      <c r="A97" s="8" t="n">
        <v>96</v>
      </c>
      <c r="B97" s="8" t="inlineStr">
        <is>
          <t>Staff – Listing review</t>
        </is>
      </c>
      <c r="C97" s="9" t="inlineStr">
        <is>
          <t>Approve with checklist</t>
        </is>
      </c>
      <c r="D97" s="8" t="inlineStr">
        <is>
          <t>Staff ticks the 3 checks (photos, duplicate, details) and approves.</t>
        </is>
      </c>
      <c r="E97" s="8" t="inlineStr">
        <is>
          <t>Listing goes live and the public can open it.</t>
        </is>
      </c>
      <c r="F97" s="10" t="inlineStr">
        <is>
          <t>Open</t>
        </is>
      </c>
      <c r="G97" s="10" t="n"/>
      <c r="H97" s="11" t="inlineStr">
        <is>
          <t>Not tested</t>
        </is>
      </c>
      <c r="I97" s="8" t="inlineStr">
        <is>
          <t>RETEST: fixed in code + e2e on 2026-10-15 (QA-B13). Previous result: Fail. QA 2026-10-14 (by hand, agent-driven): Approve needs every check ticked: Pass - Agent-driven Chromium 1366x768, staff 9490074473, listing in Kharadi. Approve disabled until 3/3; then toast shown. Checklist ticks saved to the audit log. | Approve message matches the real result: Fail - See QA-B13. | QA-B13 (Medium). Steps: Sign in as rental staff 9490074473 &gt; /admin/properties &gt; Review on "3 BHK Studio in Kharadi" (owner Omkar 9708919481, already 1 free live listing) &gt; tick all 3 checks &gt; Approve Expected: Toast tells staff the listing was approved but held back (paused) by the free-tier limit Actual: Toast "Approved &amp; published — owner notified"; DB status = paused; owner notification says approved but not live (free tier) Environment: Chromium 1366x768, local scratch DB, role Staff (rental). Evidence: %TEMP%\draazy-qa-shots staff-actions shots; audit_log property.verification.decision 2199b3df…; PropertyReviewModal.jsx line 275 || Earlier: QA 2026-10-12: 2 direct server checks passed.</t>
        </is>
      </c>
      <c r="J97" s="8" t="inlineStr">
        <is>
          <t>Staff</t>
        </is>
      </c>
      <c r="K97" s="8" t="inlineStr">
        <is>
          <t>Critical</t>
        </is>
      </c>
      <c r="L97" s="8" t="inlineStr">
        <is>
          <t>QA-B13</t>
        </is>
      </c>
      <c r="M97" s="8" t="inlineStr">
        <is>
          <t>Desktop</t>
        </is>
      </c>
      <c r="N97" s="8" t="inlineStr">
        <is>
          <t>Manual</t>
        </is>
      </c>
    </row>
    <row r="98">
      <c r="A98" s="8" t="n">
        <v>97</v>
      </c>
      <c r="B98" s="8" t="inlineStr">
        <is>
          <t>Staff – Listing review</t>
        </is>
      </c>
      <c r="C98" s="9" t="inlineStr">
        <is>
          <t>Reject with reason</t>
        </is>
      </c>
      <c r="D98" s="8" t="inlineStr">
        <is>
          <t>Staff rejects with a reason.</t>
        </is>
      </c>
      <c r="E98" s="8" t="inlineStr">
        <is>
          <t>Owner sees "Rejected" with the reason and gets an in-app notice.</t>
        </is>
      </c>
      <c r="F98" s="10" t="inlineStr">
        <is>
          <t>Open</t>
        </is>
      </c>
      <c r="G98" s="10" t="n"/>
      <c r="H98" s="11" t="inlineStr">
        <is>
          <t>Not tested</t>
        </is>
      </c>
      <c r="I98" s="8" t="inlineStr">
        <is>
          <t>RETEST: fixed in code + e2e on 2026-10-15 (QA-B14). Previous result: Fail. QA 2026-10-14 (by hand, agent-driven): Reject with a reason: Fail - Gate works; listing status rejected; owner notice wording wrong — see QA-B14. | QA-B14 (Medium). Steps: Staff: Review a pending listing &gt; Reject &gt; reason Other &gt; note "Listing is a test duplicate" &gt; Reject final. Owner 9108512606: open /notifications Expected: Owner sees the message shown in the staff "Owner message preview", including "This decision is final. The listing cannot be resubmitted." Actual: Owner sees "A reviewer could not approve it: Please share the missing information. Listing is a test duplicate" — no mention that it is final; wording invites a fix Environment: Chromium 390x844 (owner), 1366x768 (staff), local scratch DB. Evidence: look-chromium-390x844-9108512606-01-look__notifications.png || Earlier: QA 2026-10-12: 2 direct server checks passed.</t>
        </is>
      </c>
      <c r="J98" s="8" t="inlineStr">
        <is>
          <t>Staff, Owner</t>
        </is>
      </c>
      <c r="K98" s="8" t="inlineStr">
        <is>
          <t>High</t>
        </is>
      </c>
      <c r="L98" s="8" t="inlineStr">
        <is>
          <t>QA-B14</t>
        </is>
      </c>
      <c r="M98" s="8" t="inlineStr">
        <is>
          <t>Both</t>
        </is>
      </c>
      <c r="N98" s="8" t="inlineStr">
        <is>
          <t>Manual</t>
        </is>
      </c>
    </row>
    <row r="99">
      <c r="A99" s="8" t="n">
        <v>98</v>
      </c>
      <c r="B99" s="8" t="inlineStr">
        <is>
          <t>Staff – Listing review</t>
        </is>
      </c>
      <c r="C99" s="9" t="inlineStr">
        <is>
          <t>Final rejection needs a second person</t>
        </is>
      </c>
      <c r="D99" s="8" t="inlineStr">
        <is>
          <t>One staff tries to finally reject/override alone.</t>
        </is>
      </c>
      <c r="E99" s="8" t="inlineStr">
        <is>
          <t>Asked for a second approver.</t>
        </is>
      </c>
      <c r="F99" s="10" t="inlineStr">
        <is>
          <t>Open</t>
        </is>
      </c>
      <c r="G99" s="10" t="n"/>
      <c r="H99" s="11" t="inlineStr">
        <is>
          <t>Pass</t>
        </is>
      </c>
      <c r="I99" s="8" t="inlineStr">
        <is>
          <t>QA 2026-10-12: 1 direct server checks passed. (Server-side check from the earlier pass; no screen involved, so automated evidence stands. Not repeated by hand.)</t>
        </is>
      </c>
      <c r="J99" s="8" t="inlineStr">
        <is>
          <t>Staff</t>
        </is>
      </c>
      <c r="K99" s="8" t="inlineStr">
        <is>
          <t>High</t>
        </is>
      </c>
      <c r="L99" s="8" t="n"/>
      <c r="M99" s="8" t="inlineStr">
        <is>
          <t>Both</t>
        </is>
      </c>
      <c r="N99" s="8" t="inlineStr">
        <is>
          <t>Automated</t>
        </is>
      </c>
    </row>
    <row r="100">
      <c r="A100" s="8" t="n">
        <v>99</v>
      </c>
      <c r="B100" s="8" t="inlineStr">
        <is>
          <t>Staff – Listing review</t>
        </is>
      </c>
      <c r="C100" s="9" t="inlineStr">
        <is>
          <t>Ask for changes → owner edits → resubmit</t>
        </is>
      </c>
      <c r="D100" s="8" t="inlineStr">
        <is>
          <t>Staff asks the owner for a change; owner edits and resubmits; staff reviews again.</t>
        </is>
      </c>
      <c r="E100" s="8" t="inlineStr">
        <is>
          <t>Thread shows the question and answer; listing returns to the queue.</t>
        </is>
      </c>
      <c r="F100" s="10" t="inlineStr">
        <is>
          <t>Open</t>
        </is>
      </c>
      <c r="G100" s="10" t="n"/>
      <c r="H100" s="11" t="inlineStr">
        <is>
          <t>Pass</t>
        </is>
      </c>
      <c r="I100" s="8" t="inlineStr">
        <is>
          <t>QA 2026-10-15 (by hand, agent-driven Chromium): staff (rental team) at 390x844 opened a new Rent listing, Needs info needs a reason chip first (Send is disabled until one is picked), chose Wrong details + note -&gt; toast "Needs info sent - owner notified". Owner at 1366x768: bell notice "Your listing needs info" with the note; My Properties card shows Needs info, the note and "Fix now"; Fix now opens the Photos step; Submit -&gt; "Listing Updated! ... back under review". Listing returned to the staff To verify queue and was approved after re-review.</t>
        </is>
      </c>
      <c r="J100" s="8" t="inlineStr">
        <is>
          <t>Staff, Owner</t>
        </is>
      </c>
      <c r="K100" s="8" t="inlineStr">
        <is>
          <t>High</t>
        </is>
      </c>
      <c r="L100" s="8" t="n"/>
      <c r="M100" s="8" t="inlineStr">
        <is>
          <t>Both</t>
        </is>
      </c>
      <c r="N100" s="8" t="inlineStr">
        <is>
          <t>Manual</t>
        </is>
      </c>
    </row>
    <row r="101">
      <c r="A101" s="8" t="n">
        <v>100</v>
      </c>
      <c r="B101" s="8" t="inlineStr">
        <is>
          <t>Staff – Listing review</t>
        </is>
      </c>
      <c r="C101" s="9" t="inlineStr">
        <is>
          <t>Editing a live listing: re-check or back to review</t>
        </is>
      </c>
      <c r="D101" s="8" t="inlineStr">
        <is>
          <t>Owner edits price or BHK of a live listing.</t>
        </is>
      </c>
      <c r="E101" s="8" t="inlineStr">
        <is>
          <t>Changing price, furnishing or possession keeps the listing live while staff re-check it. Changing type, locality, BHK or deal takes it off search until staff approve it again.</t>
        </is>
      </c>
      <c r="F101" s="10" t="inlineStr">
        <is>
          <t>Open</t>
        </is>
      </c>
      <c r="G101" s="10" t="n"/>
      <c r="H101" s="11" t="inlineStr">
        <is>
          <t>Pass</t>
        </is>
      </c>
      <c r="I101" s="8" t="inlineStr">
        <is>
          <t>QA 2026-10-15 (by hand) at 390x844: owner edited the PRICE of a live sale listing (75 L -&gt; 79 L). The edit screen explains: price/furnishing/possession are re-checked while the listing stays live; type/locality/BHK/deal take it off search. Result: "Your listing stays live. Our team is re-checking" - public page shows new price, re-check flag set. This matches the on-screen rule (row text says it goes back to Under review - only true for BHK/type changes, not tried). ALSO BHK: same owner flow at 390x844 on the live Rent listing, changed BHK 2 -&gt; 3: the edit screen warns "Re-checking: Bedrooms (BHK) … comes off search", and after Submit: "your listing goes back for a quick review and is off search"; status pending, public page 404 until staff re-approved it (rental staff, 3/3 checks, "Approved &amp; published"). Row wording should say price is re-checked while live; BHK/type/locality/deal go back to Under review.</t>
        </is>
      </c>
      <c r="J101" s="8" t="inlineStr">
        <is>
          <t>Owner</t>
        </is>
      </c>
      <c r="K101" s="8" t="inlineStr">
        <is>
          <t>High</t>
        </is>
      </c>
      <c r="L101" s="8" t="n"/>
      <c r="M101" s="8" t="inlineStr">
        <is>
          <t>Both</t>
        </is>
      </c>
      <c r="N101" s="8" t="inlineStr">
        <is>
          <t>Manual</t>
        </is>
      </c>
    </row>
    <row r="102">
      <c r="A102" s="8" t="n">
        <v>101</v>
      </c>
      <c r="B102" s="8" t="inlineStr">
        <is>
          <t>Staff – Listing review</t>
        </is>
      </c>
      <c r="C102" s="9" t="inlineStr">
        <is>
          <t>Maker cannot approve own work</t>
        </is>
      </c>
      <c r="D102" s="8" t="inlineStr">
        <is>
          <t>Staff posts a listing on behalf of an owner, then tries to approve it. Owner tries to approve own listing.</t>
        </is>
      </c>
      <c r="E102" s="8" t="inlineStr">
        <is>
          <t>Both refused: "You cannot approve your own listing".</t>
        </is>
      </c>
      <c r="F102" s="10" t="inlineStr">
        <is>
          <t>Open</t>
        </is>
      </c>
      <c r="G102" s="10" t="n"/>
      <c r="H102" s="11" t="inlineStr">
        <is>
          <t>Pass</t>
        </is>
      </c>
      <c r="I102" s="8" t="inlineStr">
        <is>
          <t>QA 2026-10-14 (by hand, agent-driven): Staff cannot decide a listing they posted: Pass - API probe on scratch DB: tick 403, decision 403 with that message. Staff can still open the case (201) but not act on it. || Earlier: QA 2026-10-12: 16 automated browser checks passed (1 test file); 2 direct server checks passed.</t>
        </is>
      </c>
      <c r="J102" s="8" t="inlineStr">
        <is>
          <t>Staff, Owner</t>
        </is>
      </c>
      <c r="K102" s="8" t="inlineStr">
        <is>
          <t>Critical</t>
        </is>
      </c>
      <c r="L102" s="8" t="n"/>
      <c r="M102" s="8" t="inlineStr">
        <is>
          <t>Both</t>
        </is>
      </c>
      <c r="N102" s="8" t="inlineStr">
        <is>
          <t>Both</t>
        </is>
      </c>
    </row>
    <row r="103">
      <c r="A103" s="8" t="n">
        <v>102</v>
      </c>
      <c r="B103" s="8" t="inlineStr">
        <is>
          <t>Staff – Listing review</t>
        </is>
      </c>
      <c r="C103" s="9" t="inlineStr">
        <is>
          <t>Two staff decide at once</t>
        </is>
      </c>
      <c r="D103" s="8" t="inlineStr">
        <is>
          <t>Two staff open the same listing and press Approve / Reject together.</t>
        </is>
      </c>
      <c r="E103" s="8" t="inlineStr">
        <is>
          <t>Only one wins; the other is told to refresh.</t>
        </is>
      </c>
      <c r="F103" s="10" t="inlineStr">
        <is>
          <t>Open</t>
        </is>
      </c>
      <c r="G103" s="10" t="n"/>
      <c r="H103" s="11" t="inlineStr">
        <is>
          <t>Pass</t>
        </is>
      </c>
      <c r="I103" s="8" t="inlineStr">
        <is>
          <t>QA 2026-10-15 (by hand): manager at 1366x768 and admin at 1920x1080 opened the same listing and clicked "Approve as second reviewer" together. Admin: "Second approval recorded"; manager: "This second approval was already decided - refreshed". Listing approved once; audit log shows one decision.</t>
        </is>
      </c>
      <c r="J103" s="8" t="inlineStr">
        <is>
          <t>Staff</t>
        </is>
      </c>
      <c r="K103" s="8" t="inlineStr">
        <is>
          <t>High</t>
        </is>
      </c>
      <c r="L103" s="8" t="n"/>
      <c r="M103" s="8" t="inlineStr">
        <is>
          <t>Both</t>
        </is>
      </c>
      <c r="N103" s="8" t="inlineStr">
        <is>
          <t>Both</t>
        </is>
      </c>
    </row>
    <row r="104">
      <c r="A104" s="8" t="n">
        <v>103</v>
      </c>
      <c r="B104" s="8" t="inlineStr">
        <is>
          <t>Staff – Listing review</t>
        </is>
      </c>
      <c r="C104" s="9" t="inlineStr">
        <is>
          <t>Decisions are in the audit log</t>
        </is>
      </c>
      <c r="D104" s="8" t="inlineStr">
        <is>
          <t>After approve / reject / override, open the audit log.</t>
        </is>
      </c>
      <c r="E104" s="8" t="inlineStr">
        <is>
          <t>Each decision is listed with who, when and why.</t>
        </is>
      </c>
      <c r="F104" s="10" t="inlineStr">
        <is>
          <t>Open</t>
        </is>
      </c>
      <c r="G104" s="10" t="n"/>
      <c r="H104" s="11" t="inlineStr">
        <is>
          <t>Pass</t>
        </is>
      </c>
      <c r="I104" s="8" t="inlineStr">
        <is>
          <t>QA 2026-10-15: audit log (/admin/audit-log) lists every checklist tick, checklist reset (after owner resubmitted) and decision with who and when. Note: the owner reset shows as a raw user ID, not a name.</t>
        </is>
      </c>
      <c r="J104" s="8" t="inlineStr">
        <is>
          <t>Admin</t>
        </is>
      </c>
      <c r="K104" s="8" t="inlineStr">
        <is>
          <t>High</t>
        </is>
      </c>
      <c r="L104" s="8" t="n"/>
      <c r="M104" s="8" t="inlineStr">
        <is>
          <t>Desktop</t>
        </is>
      </c>
      <c r="N104" s="8" t="inlineStr">
        <is>
          <t>Both</t>
        </is>
      </c>
    </row>
    <row r="105">
      <c r="A105" s="8" t="n">
        <v>104</v>
      </c>
      <c r="B105" s="8" t="inlineStr">
        <is>
          <t>Staff – Listing review</t>
        </is>
      </c>
      <c r="C105" s="9" t="inlineStr">
        <is>
          <t>Duplicates</t>
        </is>
      </c>
      <c r="D105" s="8" t="inlineStr">
        <is>
          <t>Post a listing that copies an existing one.</t>
        </is>
      </c>
      <c r="E105" s="8" t="inlineStr">
        <is>
          <t>Flagged as possible duplicate for staff and the owner.</t>
        </is>
      </c>
      <c r="F105" s="10" t="inlineStr">
        <is>
          <t>Open</t>
        </is>
      </c>
      <c r="G105" s="10" t="n"/>
      <c r="H105" s="11" t="inlineStr">
        <is>
          <t>Not tested</t>
        </is>
      </c>
      <c r="I105" s="8" t="inlineStr">
        <is>
          <t>RETEST: fixed in code + e2e on 2026-10-15 (QA-B66, QA-B67). Previous result: Fail. Two fresh owners (9622274902, 9622274959) posted the same 2BHK in Kothrud with the same electricity meter number (posting done via the owner API). Staff 9000000101 at 1366 and admin at 390: Properties &gt; Duplicates showed "1 duplicate cluster · same address / electricity meter" with both cards, no sideways scroll at 390. Admin pressed "Keep this, archive the rest" on the older one (double-click sent one POST 204); the cluster cleared, the newer listing was archived with reason "Merged duplicate — kept 57d8cce5…", and one audit row property.duplicate.merge was written. FAIL: the owner is never told — owner B saw no warning on Dashboard after posting, and after the merge their listing simply vanished from My Properties ("No properties yet") with 0 notifications. Expected (row): owner is told it looks like a duplicate / why it was archived. Note: a meter number with fewer than 6 digits is ignored by design. Env: Chromium 1366x768 + 390x844; staff, admin, owner. Evidence mt29b-d1366-dup-tab.png, mt29b-p390-ownerB-props.png.</t>
        </is>
      </c>
      <c r="J105" s="8" t="inlineStr">
        <is>
          <t>Owner, Staff</t>
        </is>
      </c>
      <c r="K105" s="8" t="inlineStr">
        <is>
          <t>Medium</t>
        </is>
      </c>
      <c r="L105" s="8" t="inlineStr">
        <is>
          <t>QA-B66, QA-B67</t>
        </is>
      </c>
      <c r="M105" s="8" t="inlineStr">
        <is>
          <t>Both</t>
        </is>
      </c>
      <c r="N105" s="8" t="inlineStr">
        <is>
          <t>Manual</t>
        </is>
      </c>
    </row>
    <row r="106">
      <c r="A106" s="8" t="n">
        <v>105</v>
      </c>
      <c r="B106" s="8" t="inlineStr">
        <is>
          <t>Staff – Listing review</t>
        </is>
      </c>
      <c r="C106" s="9" t="inlineStr">
        <is>
          <t>Recheck queue &amp; ownership review</t>
        </is>
      </c>
      <c r="D106" s="8" t="inlineStr">
        <is>
          <t>Open the recheck queue and ownership review.</t>
        </is>
      </c>
      <c r="E106" s="8" t="inlineStr">
        <is>
          <t>Items load; actions work.</t>
        </is>
      </c>
      <c r="F106" s="10" t="inlineStr">
        <is>
          <t>Open</t>
        </is>
      </c>
      <c r="G106" s="10" t="n"/>
      <c r="H106" s="11" t="inlineStr">
        <is>
          <t>Not tested</t>
        </is>
      </c>
      <c r="I106" s="8" t="inlineStr">
        <is>
          <t>RETEST: fixed in code + e2e on 2026-10-15 (QA-B68, QA-B69). Previous result: Fail. Staff 9000000101 at 1366 and manager 9000000001 at 390: Properties &gt; Re-checks listed 2 items with the changed fields ("Re-check: price, address, images"); no sideways scroll at 390. "Looks fine" on the live rent listing ae42648b: one confirm, PATCH 200, toast "Re-check cleared — listing stays live", tab count 2→1. Ownership review (Review &gt; Verified badge tab) loads at both sizes: document vault, recorded checks, "Record a checked document" form, withdraw button. FAIL: the 2nd item, "2 BHK Flat in Wakad", is already Sold but sits in Re-checks and cannot be cleared — "Looks fine" returns 409 with NO message to staff, and "Take down" &gt; reason "Wrong details" &gt; Reject listing shows "Could not reject: Restore or resolve this listing's status before changing its lifecycle". Each failed attempt still writes an audit row "verification.checklist.reset". Also a double-click on "Looks fine" opened two confirm boxes and sent two requests. Expected: sold listings leave the queue, or the action works / explains. Env: Chromium; staff, manager. Evidence mt30-d1366-recheck.png, mt30-p390-recheck-after.png.</t>
        </is>
      </c>
      <c r="J106" s="8" t="inlineStr">
        <is>
          <t>Staff</t>
        </is>
      </c>
      <c r="K106" s="8" t="inlineStr">
        <is>
          <t>Medium</t>
        </is>
      </c>
      <c r="L106" s="8" t="inlineStr">
        <is>
          <t>QA-B68, QA-B69</t>
        </is>
      </c>
      <c r="M106" s="8" t="inlineStr">
        <is>
          <t>Both</t>
        </is>
      </c>
      <c r="N106" s="8" t="inlineStr">
        <is>
          <t>Manual</t>
        </is>
      </c>
    </row>
    <row r="107">
      <c r="A107" s="8" t="n">
        <v>106</v>
      </c>
      <c r="B107" s="8" t="inlineStr">
        <is>
          <t>Staff – Listing review</t>
        </is>
      </c>
      <c r="C107" s="9" t="inlineStr">
        <is>
          <t>Photo moderation and takedown</t>
        </is>
      </c>
      <c r="D107" s="8" t="inlineStr">
        <is>
          <t>Staff asks for new photos / removes a bad photo.</t>
        </is>
      </c>
      <c r="E107" s="8" t="inlineStr">
        <is>
          <t>Owner is told; removed photo no longer shows.</t>
        </is>
      </c>
      <c r="F107" s="10" t="inlineStr">
        <is>
          <t>Open</t>
        </is>
      </c>
      <c r="G107" s="10" t="n"/>
      <c r="H107" s="11" t="inlineStr">
        <is>
          <t>Not tested</t>
        </is>
      </c>
      <c r="I107" s="8" t="inlineStr">
        <is>
          <t>RETEST: fixed in code + e2e on 2026-10-15 (QA-B70). Previous result: Fail. Staff 9000000101 at 1366: Properties &gt; To verify &gt; Review "3 BHK Studio in Kharadi" &gt; Needs info &gt; reason "Photos not real" + note &gt; "Send needs info" (double-click sent one decision, 200; toast "Needs info sent — owner notified"). Owner 9708919481 at 390: Notifications shows "Your listing needs info — Please add clear photos of the actual property. QA: …"; Dashboard shows "Needs info on 3 BHK Studio in Kharadi" with Respond, which opens a reply thread with Draazy Support. ASK-FOR-NEW-PHOTOS PART WORKS. FAIL: staff have no way to remove one bad photo — the review modal shows "Photos 6" with no per-photo action, "Edit details" has no photo field, and the server has no staff photo-delete endpoint. The only options are flag/reject/archive the whole listing. Expected: staff can take down a single photo and it stops showing. Env: Chromium 1366x768 + 390x844; staff, owner. Evidence mt31-d1366-needs-info-filled.png, mt31-p390-owner-notif.png.</t>
        </is>
      </c>
      <c r="J107" s="8" t="inlineStr">
        <is>
          <t>Staff, Owner</t>
        </is>
      </c>
      <c r="K107" s="8" t="inlineStr">
        <is>
          <t>High</t>
        </is>
      </c>
      <c r="L107" s="8" t="inlineStr">
        <is>
          <t>QA-B70</t>
        </is>
      </c>
      <c r="M107" s="8" t="inlineStr">
        <is>
          <t>Both</t>
        </is>
      </c>
      <c r="N107" s="8" t="inlineStr">
        <is>
          <t>Manual</t>
        </is>
      </c>
    </row>
    <row r="108">
      <c r="A108" s="8" t="n">
        <v>107</v>
      </c>
      <c r="B108" s="8" t="inlineStr">
        <is>
          <t>Staff – Identity review</t>
        </is>
      </c>
      <c r="C108" s="9" t="inlineStr">
        <is>
          <t>Identity check reaches the queue</t>
        </is>
      </c>
      <c r="D108" s="8" t="inlineStr">
        <is>
          <t>User submits identity verification. Staff opens KYC Review.</t>
        </is>
      </c>
      <c r="E108" s="8" t="inlineStr">
        <is>
          <t>Request is in the queue with the right details.</t>
        </is>
      </c>
      <c r="F108" s="10" t="inlineStr">
        <is>
          <t>Open</t>
        </is>
      </c>
      <c r="G108" s="10" t="n"/>
      <c r="H108" s="11" t="inlineStr">
        <is>
          <t>Pass</t>
        </is>
      </c>
      <c r="I108" s="8" t="inlineStr">
        <is>
          <t>QA 2026-10-14 (by hand, agent-driven): Submitted checks appear in KYC Review for staff at 1366. || Earlier: QA 2026-10-12: 14 automated browser checks passed (3 test files).</t>
        </is>
      </c>
      <c r="J108" s="8" t="inlineStr">
        <is>
          <t>Buyer, Owner, Staff</t>
        </is>
      </c>
      <c r="K108" s="8" t="inlineStr">
        <is>
          <t>High</t>
        </is>
      </c>
      <c r="L108" s="8" t="n"/>
      <c r="M108" s="8" t="inlineStr">
        <is>
          <t>Desktop</t>
        </is>
      </c>
      <c r="N108" s="8" t="inlineStr">
        <is>
          <t>Both</t>
        </is>
      </c>
    </row>
    <row r="109">
      <c r="A109" s="8" t="n">
        <v>108</v>
      </c>
      <c r="B109" s="8" t="inlineStr">
        <is>
          <t>Staff – Identity review</t>
        </is>
      </c>
      <c r="C109" s="9" t="inlineStr">
        <is>
          <t>Approve / reject identity</t>
        </is>
      </c>
      <c r="D109" s="8" t="inlineStr">
        <is>
          <t>Staff approves one request and rejects another with a reason.</t>
        </is>
      </c>
      <c r="E109" s="8" t="inlineStr">
        <is>
          <t>User sees the result in the app (WhatsApp notice too).</t>
        </is>
      </c>
      <c r="F109" s="10" t="inlineStr">
        <is>
          <t>Open</t>
        </is>
      </c>
      <c r="G109" s="10" t="n"/>
      <c r="H109" s="11" t="inlineStr">
        <is>
          <t>Pass</t>
        </is>
      </c>
      <c r="I109" s="8" t="inlineStr">
        <is>
          <t>QA 2026-10-14 (by hand, agent-driven): Approve an ID check: Pass - Manager 1366x768: hint "Tick 4 more checks" then "Confirm the selfie pose" until complete. User Priya saw "Verified as Priya Nair" on /verify-identity at 390x844 and an in-app notice. Approval sends no WhatsApp by design (docs/DEPLOY.md). | Reject an ID check with a reason: Pass - Admin 1366x768. User Diya at 390x844 saw the note and "Attempts left: 2". WhatsApp went to the mock sender (log "[MOCK WHATSAPP] identity decision to 91XXXXX152"); real delivery is SB-05. || Earlier: QA 2026-10-12: 12 automated browser checks passed (2 test files). In-app result checked. Real WhatsApp message not sent (test provider).</t>
        </is>
      </c>
      <c r="J109" s="8" t="inlineStr">
        <is>
          <t>Staff, Buyer, Owner</t>
        </is>
      </c>
      <c r="K109" s="8" t="inlineStr">
        <is>
          <t>High</t>
        </is>
      </c>
      <c r="L109" s="8" t="n"/>
      <c r="M109" s="8" t="inlineStr">
        <is>
          <t>Both</t>
        </is>
      </c>
      <c r="N109" s="8" t="inlineStr">
        <is>
          <t>Both</t>
        </is>
      </c>
    </row>
    <row r="110">
      <c r="A110" s="8" t="n">
        <v>109</v>
      </c>
      <c r="B110" s="8" t="inlineStr">
        <is>
          <t>Staff – Identity review</t>
        </is>
      </c>
      <c r="C110" s="9" t="inlineStr">
        <is>
          <t>Second reviewer QA check</t>
        </is>
      </c>
      <c r="D110" s="8" t="inlineStr">
        <is>
          <t>An approval is picked for QA sampling.</t>
        </is>
      </c>
      <c r="E110" s="8" t="inlineStr">
        <is>
          <t>Hidden from the approver; another reviewer confirms it.</t>
        </is>
      </c>
      <c r="F110" s="10" t="inlineStr">
        <is>
          <t>Open</t>
        </is>
      </c>
      <c r="G110" s="10" t="n"/>
      <c r="H110" s="11" t="inlineStr">
        <is>
          <t>Pass</t>
        </is>
      </c>
      <c r="I110" s="8" t="inlineStr">
        <is>
          <t>QA 2026-10-14 (by hand, agent-driven): Second reviewer checks an approval: Pass || Earlier: QA 2026-10-12: 8 automated browser checks passed (1 test file).</t>
        </is>
      </c>
      <c r="J110" s="8" t="inlineStr">
        <is>
          <t>Staff</t>
        </is>
      </c>
      <c r="K110" s="8" t="inlineStr">
        <is>
          <t>Medium</t>
        </is>
      </c>
      <c r="L110" s="8" t="n"/>
      <c r="M110" s="8" t="inlineStr">
        <is>
          <t>Desktop</t>
        </is>
      </c>
      <c r="N110" s="8" t="inlineStr">
        <is>
          <t>Both</t>
        </is>
      </c>
    </row>
    <row r="111">
      <c r="A111" s="8" t="n">
        <v>110</v>
      </c>
      <c r="B111" s="8" t="inlineStr">
        <is>
          <t>Staff – Identity review</t>
        </is>
      </c>
      <c r="C111" s="9" t="inlineStr">
        <is>
          <t>User disputes a decision</t>
        </is>
      </c>
      <c r="D111" s="8" t="inlineStr">
        <is>
          <t>User disputes a rejected identity check.</t>
        </is>
      </c>
      <c r="E111" s="8" t="inlineStr">
        <is>
          <t>Dispute reaches staff and the user sees its status.</t>
        </is>
      </c>
      <c r="F111" s="10" t="n"/>
      <c r="G111" s="10" t="n"/>
      <c r="H111" s="11" t="inlineStr">
        <is>
          <t>Not tested</t>
        </is>
      </c>
      <c r="I111" s="8" t="inlineStr">
        <is>
          <t>RETEST: fixed in code + e2e on 2026-10-15 (QA-B71). Previous result: Fail. New user 9623117000 at 390 did the ID check by hand (PAN tile, consent, ID photo, selfie, Submit → "In review"). Staff 9000000101 claimed and rejected it with reason "mismatch" + note (set-up step done via the staff API). User at 390: Notifications "Verification needs another try"; /verify-identity shows "Needs attention — QA: details did not match — Attempts left: 2" with only "Try again" and "Remove my ID data". FAIL: there is no way to dispute the rejection — no dispute/appeal button, and calling the dispute endpoint returns 409 "No recent identity conflict is available to dispute". The only dispute in the app ("Report misuse") is for an ID already used on another account, and that screen cannot be reached because the app never sends the ID number at submit. Workaround: a general ticket at /support. Expected: user can dispute and see its status. Env: Chromium 390x844; user, staff. Evidence mt32-p390-identity-rejected.png.</t>
        </is>
      </c>
      <c r="J111" s="8" t="inlineStr">
        <is>
          <t>Buyer, Owner, Staff</t>
        </is>
      </c>
      <c r="K111" s="8" t="inlineStr">
        <is>
          <t>Medium</t>
        </is>
      </c>
      <c r="L111" s="8" t="inlineStr">
        <is>
          <t>QA-B71</t>
        </is>
      </c>
      <c r="M111" s="8" t="inlineStr">
        <is>
          <t>Phone</t>
        </is>
      </c>
      <c r="N111" s="8" t="inlineStr">
        <is>
          <t>Manual</t>
        </is>
      </c>
    </row>
    <row r="112">
      <c r="A112" s="8" t="n">
        <v>111</v>
      </c>
      <c r="B112" s="8" t="inlineStr">
        <is>
          <t>Staff – Identity review</t>
        </is>
      </c>
      <c r="C112" s="9" t="inlineStr">
        <is>
          <t>Badge: maker cannot approve own request</t>
        </is>
      </c>
      <c r="D112" s="8" t="inlineStr">
        <is>
          <t>Admin requests a verified badge, then tries to approve it.</t>
        </is>
      </c>
      <c r="E112" s="8" t="inlineStr">
        <is>
          <t>Refused: another admin must approve.</t>
        </is>
      </c>
      <c r="F112" s="10" t="inlineStr">
        <is>
          <t>Open</t>
        </is>
      </c>
      <c r="G112" s="10" t="n"/>
      <c r="H112" s="11" t="inlineStr">
        <is>
          <t>Pass</t>
        </is>
      </c>
      <c r="I112" s="8" t="inlineStr">
        <is>
          <t>QA 2026-10-12: 1 direct server checks passed. (Server-side check from the earlier pass; no screen involved, so automated evidence stands. Not repeated by hand.)</t>
        </is>
      </c>
      <c r="J112" s="8" t="inlineStr">
        <is>
          <t>Admin</t>
        </is>
      </c>
      <c r="K112" s="8" t="inlineStr">
        <is>
          <t>High</t>
        </is>
      </c>
      <c r="L112" s="8" t="n"/>
      <c r="M112" s="8" t="inlineStr">
        <is>
          <t>Both</t>
        </is>
      </c>
      <c r="N112" s="8" t="inlineStr">
        <is>
          <t>Automated</t>
        </is>
      </c>
    </row>
    <row r="113">
      <c r="A113" s="8" t="n">
        <v>112</v>
      </c>
      <c r="B113" s="8" t="inlineStr">
        <is>
          <t>Staff – Identity review</t>
        </is>
      </c>
      <c r="C113" s="9" t="inlineStr">
        <is>
          <t>Badge: manager or admin grants in one step</t>
        </is>
      </c>
      <c r="D113" s="8" t="inlineStr">
        <is>
          <t>Manager opens Users, picks a person, clicks Grant Verified badge, writes a reason and confirms. The user checks their profile and notices.</t>
        </is>
      </c>
      <c r="E113" s="8" t="inlineStr">
        <is>
          <t>The user gets the badge and a notice at once; the grant and the reason are in the audit log.</t>
        </is>
      </c>
      <c r="F113" s="10" t="inlineStr">
        <is>
          <t>Open</t>
        </is>
      </c>
      <c r="G113" s="10" t="n"/>
      <c r="H113" s="11" t="inlineStr">
        <is>
          <t>Pass</t>
        </is>
      </c>
      <c r="I113" s="8" t="inlineStr">
        <is>
          <t>QA 2026-10-14 (by hand, agent-driven): Manager grants the Verified badge with a reason: Pass - Manager 390x844: bottom sheet, "Write at least 10 characters", toast "Verified badge granted"; audit user.badge with the reason. || Earlier: Retested 2026-10-12 after the fix: there is one step, no second approver. A Manager or Admin grants the badge with a reason; the user gets it at once with a notice, and the grant is in the audit log. Env: local build with the fixes, backend tests (JDK 25, PostgreSQL 13) and the automated browser suite (run-fast.ps1 -Full, Chromium), 2026-10-12.</t>
        </is>
      </c>
      <c r="J113" s="8" t="inlineStr">
        <is>
          <t>Manager, Admin</t>
        </is>
      </c>
      <c r="K113" s="8" t="inlineStr">
        <is>
          <t>Medium</t>
        </is>
      </c>
      <c r="L113" s="8" t="inlineStr">
        <is>
          <t>QA-07</t>
        </is>
      </c>
      <c r="M113" s="8" t="inlineStr">
        <is>
          <t>Phone</t>
        </is>
      </c>
      <c r="N113" s="8" t="inlineStr">
        <is>
          <t>Both</t>
        </is>
      </c>
    </row>
    <row r="114">
      <c r="A114" s="8" t="n">
        <v>113</v>
      </c>
      <c r="B114" s="8" t="inlineStr">
        <is>
          <t>Staff – Identity review</t>
        </is>
      </c>
      <c r="C114" s="9" t="inlineStr">
        <is>
          <t>Registration / RERA check</t>
        </is>
      </c>
      <c r="D114" s="8" t="inlineStr">
        <is>
          <t>Staff checks a listing registration.</t>
        </is>
      </c>
      <c r="E114" s="8" t="inlineStr">
        <is>
          <t>Result saved and shown.</t>
        </is>
      </c>
      <c r="F114" s="10" t="inlineStr">
        <is>
          <t>Open</t>
        </is>
      </c>
      <c r="G114" s="10" t="n"/>
      <c r="H114" s="11" t="inlineStr">
        <is>
          <t>Not tested</t>
        </is>
      </c>
      <c r="I114" s="8" t="inlineStr">
        <is>
          <t>RETEST: fixed in code + e2e on 2026-10-15 (QA-B72). Previous result: Fail. Staff 9000000101 at 1366: Properties &gt; All listings, searched "1 BHK Flat in Baner" (p5013) by its ID, opened View: the detail sheet shows "RERA ID P52100027845" as plain text with only Close / Open public page. Guest at 390 on /property/p5013: "MahaRERA: P52100027845" link opens https://maharera.maharashtra.gov.in/ (home page, new tab) — staff/user must search the ID there by hand. FAIL: there is no way for staff to record a RERA check result (checked / not found / mismatch) — nothing is saved or shown. Also the queue search box does not find a listing by its short code (p5013) — only by UUID or title. Expected (row): result saved and shown. This may be a row-wording issue if the owner decides RERA checks stay manual; then reword. Env: Chromium 1366x768 + 390x844; staff, guest. Evidence mt33-d1366-rera-staff.png, mt33-p390-rera-consumer.png.</t>
        </is>
      </c>
      <c r="J114" s="8" t="inlineStr">
        <is>
          <t>Staff</t>
        </is>
      </c>
      <c r="K114" s="8" t="inlineStr">
        <is>
          <t>Medium</t>
        </is>
      </c>
      <c r="L114" s="8" t="inlineStr">
        <is>
          <t>QA-B72</t>
        </is>
      </c>
      <c r="M114" s="8" t="inlineStr">
        <is>
          <t>Both</t>
        </is>
      </c>
      <c r="N114" s="8" t="inlineStr">
        <is>
          <t>Manual</t>
        </is>
      </c>
    </row>
    <row r="115">
      <c r="A115" s="8" t="n">
        <v>114</v>
      </c>
      <c r="B115" s="8" t="inlineStr">
        <is>
          <t>Staff – Flatmates</t>
        </is>
      </c>
      <c r="C115" s="9" t="inlineStr">
        <is>
          <t>Room waits for review</t>
        </is>
      </c>
      <c r="D115" s="8" t="inlineStr">
        <is>
          <t>Lister posts a room. Open the public feed.</t>
        </is>
      </c>
      <c r="E115" s="8" t="inlineStr">
        <is>
          <t>Room is "pending" and not public until staff approve.</t>
        </is>
      </c>
      <c r="F115" s="10" t="inlineStr">
        <is>
          <t>Open</t>
        </is>
      </c>
      <c r="G115" s="10" t="n"/>
      <c r="H115" s="11" t="inlineStr">
        <is>
          <t>Pass</t>
        </is>
      </c>
      <c r="I115" s="8" t="inlineStr">
        <is>
          <t>QA 2026-10-15: room posted at 390 is "Under review · only you can see it" for the host; guest GET of the room = 404 and it is not in the public feed until approved.</t>
        </is>
      </c>
      <c r="J115" s="8" t="inlineStr">
        <is>
          <t>Flatmate lister, Staff</t>
        </is>
      </c>
      <c r="K115" s="8" t="inlineStr">
        <is>
          <t>High</t>
        </is>
      </c>
      <c r="L115" s="8" t="n"/>
      <c r="M115" s="8" t="inlineStr">
        <is>
          <t>Both</t>
        </is>
      </c>
      <c r="N115" s="8" t="inlineStr">
        <is>
          <t>Manual</t>
        </is>
      </c>
    </row>
    <row r="116">
      <c r="A116" s="8" t="n">
        <v>115</v>
      </c>
      <c r="B116" s="8" t="inlineStr">
        <is>
          <t>Staff – Flatmates</t>
        </is>
      </c>
      <c r="C116" s="9" t="inlineStr">
        <is>
          <t>Staff approves a room</t>
        </is>
      </c>
      <c r="D116" s="8" t="inlineStr">
        <is>
          <t>Staff approves the room. A consumer tries the same staff action.</t>
        </is>
      </c>
      <c r="E116" s="8" t="inlineStr">
        <is>
          <t>Room goes live. Consumer is refused.</t>
        </is>
      </c>
      <c r="F116" s="10" t="inlineStr">
        <is>
          <t>Open</t>
        </is>
      </c>
      <c r="G116" s="10" t="n"/>
      <c r="H116" s="11" t="inlineStr">
        <is>
          <t>Pass</t>
        </is>
      </c>
      <c r="I116" s="8" t="inlineStr">
        <is>
          <t>QA 2026-10-15 staff 9000000101 at 1366: /staff/flatmates queue &gt; search "Qa Room" &gt; Review shows all details and host mobile &gt; Publish (double-click = one decision, one audit row flatmate.moderate, one "Your flatmate ad is live" notice) -&gt; public 200. Host calling PATCH /admin/flatmates/{id}/moderation on own room = 403. Queue lists the room as "Untitled" although it has a headline (cosmetic).</t>
        </is>
      </c>
      <c r="J116" s="8" t="inlineStr">
        <is>
          <t>Staff</t>
        </is>
      </c>
      <c r="K116" s="8" t="inlineStr">
        <is>
          <t>High</t>
        </is>
      </c>
      <c r="L116" s="8" t="n"/>
      <c r="M116" s="8" t="inlineStr">
        <is>
          <t>Desktop</t>
        </is>
      </c>
      <c r="N116" s="8" t="inlineStr">
        <is>
          <t>Manual</t>
        </is>
      </c>
    </row>
    <row r="117">
      <c r="A117" s="8" t="n">
        <v>116</v>
      </c>
      <c r="B117" s="8" t="inlineStr">
        <is>
          <t>Staff – Flatmates</t>
        </is>
      </c>
      <c r="C117" s="9" t="inlineStr">
        <is>
          <t>Seeker profile review</t>
        </is>
      </c>
      <c r="D117" s="8" t="inlineStr">
        <is>
          <t>Seeker posts a "looking for a room" profile.</t>
        </is>
      </c>
      <c r="E117" s="8" t="inlineStr">
        <is>
          <t>Profile goes live at once and is checked by staff afterwards.</t>
        </is>
      </c>
      <c r="F117" s="10" t="inlineStr">
        <is>
          <t>Open</t>
        </is>
      </c>
      <c r="G117" s="10" t="n"/>
      <c r="H117" s="11" t="inlineStr">
        <is>
          <t>Pass</t>
        </is>
      </c>
      <c r="I117" s="8" t="inlineStr">
        <is>
          <t>QA 2026-10-15: seeker request posted at 1366 is live at once (mod_status live), shown on Team up to a guest at 390; staff queue lists seeker posts under "Seeker post" filter for after-the-fact checks.</t>
        </is>
      </c>
      <c r="J117" s="8" t="inlineStr">
        <is>
          <t>Flatmate seeker, Staff</t>
        </is>
      </c>
      <c r="K117" s="8" t="inlineStr">
        <is>
          <t>Medium</t>
        </is>
      </c>
      <c r="L117" s="8" t="n"/>
      <c r="M117" s="8" t="inlineStr">
        <is>
          <t>Desktop</t>
        </is>
      </c>
      <c r="N117" s="8" t="inlineStr">
        <is>
          <t>Manual</t>
        </is>
      </c>
    </row>
    <row r="118">
      <c r="A118" s="8" t="n">
        <v>117</v>
      </c>
      <c r="B118" s="8" t="inlineStr">
        <is>
          <t>Staff – Support &amp; reports</t>
        </is>
      </c>
      <c r="C118" s="9" t="inlineStr">
        <is>
          <t>Reported listing</t>
        </is>
      </c>
      <c r="D118" s="8" t="inlineStr">
        <is>
          <t>Buyer reports a listing. Staff opens Reports.</t>
        </is>
      </c>
      <c r="E118" s="8" t="inlineStr">
        <is>
          <t>Report is in the queue; staff can act; consumers cannot read the queue.</t>
        </is>
      </c>
      <c r="F118" s="10" t="inlineStr">
        <is>
          <t>Open</t>
        </is>
      </c>
      <c r="G118" s="10" t="n"/>
      <c r="H118" s="11" t="inlineStr">
        <is>
          <t>Not tested</t>
        </is>
      </c>
      <c r="I118" s="8" t="inlineStr">
        <is>
          <t>RETEST: fixed in code + e2e on 2026-10-15 (QA-B15, QA-B16). Previous result: Fail. QA 2026-10-14 (by hand, agent-driven): Staff can tell which listing was reported: Fail - See QA-B15. | Take down a reported listing: Fail - Take down works at once (no confirm step) and buyer Tanvi at 390x844 sees "Property not found…". Owner gets no notice — see QA-B16. | QA-B15 (Medium). Steps: Buyer reports listing p5130 ("3 BHK Independent House for Sale in Baner"). Admin opens /admin/reports &gt; Properties tab. Expected: Each report card names the listing (title, locality) so staff know what they are acting on before Take down. Actual: Card heading is "f1c70000-0000-4000-8000-000000005130"; the listing name only appears after opening the eye icon. Environment: Chromium 1366x768, Admin, local scratch DB. Evidence: steps-chromium-1366x768-staff_9000000000-01-step1.png (reports queue) | QA-B16 (Medium). Steps: Buyer reports a live listing. Admin clicks Take down in /admin/reports. Owner 9700000010 opens Notifications. Expected: Owner gets an in-app notice that the listing was taken down and why, and what to do next. Actual: Listing goes to "flagged" and disappears from search; no notification is created for the owner (or the reporter). Audit rows report.triage and property.flag are written. Environment: Chromium 1366x768 (admin, owner), local scratch DB. Evidence: notifications table empty for the takedown; audit_log 06:25:50 || Earlier: QA 2026-10-12: 9 automated browser checks passed (2 test files); 2 direct server checks passed.</t>
        </is>
      </c>
      <c r="J118" s="8" t="inlineStr">
        <is>
          <t>Buyer, Staff</t>
        </is>
      </c>
      <c r="K118" s="8" t="inlineStr">
        <is>
          <t>High</t>
        </is>
      </c>
      <c r="L118" s="8" t="inlineStr">
        <is>
          <t>QA-B15, QA-B16</t>
        </is>
      </c>
      <c r="M118" s="8" t="inlineStr">
        <is>
          <t>Both</t>
        </is>
      </c>
      <c r="N118" s="8" t="inlineStr">
        <is>
          <t>Both</t>
        </is>
      </c>
    </row>
    <row r="119">
      <c r="A119" s="8" t="n">
        <v>118</v>
      </c>
      <c r="B119" s="8" t="inlineStr">
        <is>
          <t>Staff – Support &amp; reports</t>
        </is>
      </c>
      <c r="C119" s="9" t="inlineStr">
        <is>
          <t>Support ticket handled</t>
        </is>
      </c>
      <c r="D119" s="8" t="inlineStr">
        <is>
          <t>User raises a ticket. Staff replies and closes it.</t>
        </is>
      </c>
      <c r="E119" s="8" t="inlineStr">
        <is>
          <t>User sees the reply and the closed status.</t>
        </is>
      </c>
      <c r="F119" s="10" t="inlineStr">
        <is>
          <t>Open</t>
        </is>
      </c>
      <c r="G119" s="10" t="n"/>
      <c r="H119" s="11" t="inlineStr">
        <is>
          <t>Not tested</t>
        </is>
      </c>
      <c r="I119" s="8" t="inlineStr">
        <is>
          <t>RETEST: fixed in code + e2e on 2026-10-15 (QA-B18, QA-B17). Previous result: Fail. QA 2026-10-14 (by hand, agent-driven): Customer is told about the reply: Fail - See QA-B18 | Awaiting vs Answered tabs: Fail - See QA-B17 | QA-B18 (Medium). Steps: 1) As admin, reply to Priya's ticket on /admin/support. 2) Sign in as Priya (9700000002), open /notifications. Expected: Customer gets an in-app notice (and email/WhatsApp per preferences) that support replied. Actual: No notification row is created; the reply is only visible if the customer opens /support themselves (it shows there with the text escaped). Environment: Chromium 390x844, admin -&gt; buyer 9700000002, lane 2 local. Evidence: steps-chromium-390x844-staff_9000000000-05-step5.png; notifications table has only identity.approved | QA-B17 (Low). Steps: 1) Sign in as admin, open /admin/support, tab "Awaiting reply". 2) Tap Reply on a ticket that only has the customer's message. 3) Close the sheet without replying. Expected: The ticket stays in a "not yet answered" list until staff actually reply (or the tab is named "Read"). Actual: The ticket leaves "Awaiting reply" and is counted under "Answered"; the DB thread still has only the customer message (staff_unread cleared on open). Another desk member will think it is handled. Environment: Chromium 390x844 and 1366x768, admin 9000000000, lane 2 local. Evidence: support-phone-try1/2.png; OpsSupportQueue.jsx open() marks read || Earlier: QA 2026-10-12: 16 automated browser checks passed (4 test files).</t>
        </is>
      </c>
      <c r="J119" s="8" t="inlineStr">
        <is>
          <t>All signed-in, Staff</t>
        </is>
      </c>
      <c r="K119" s="8" t="inlineStr">
        <is>
          <t>High</t>
        </is>
      </c>
      <c r="L119" s="8" t="inlineStr">
        <is>
          <t>QA-B18, QA-B17</t>
        </is>
      </c>
      <c r="M119" s="8" t="inlineStr">
        <is>
          <t>Both</t>
        </is>
      </c>
      <c r="N119" s="8" t="inlineStr">
        <is>
          <t>Both</t>
        </is>
      </c>
    </row>
    <row r="120">
      <c r="A120" s="8" t="n">
        <v>119</v>
      </c>
      <c r="B120" s="8" t="inlineStr">
        <is>
          <t>Staff – Support &amp; reports</t>
        </is>
      </c>
      <c r="C120" s="9" t="inlineStr">
        <is>
          <t>Enquiries</t>
        </is>
      </c>
      <c r="D120" s="8" t="inlineStr">
        <is>
          <t>Open Enquiries; assign and update one.</t>
        </is>
      </c>
      <c r="E120" s="8" t="inlineStr">
        <is>
          <t>Changes save and show.</t>
        </is>
      </c>
      <c r="F120" s="10" t="inlineStr">
        <is>
          <t>Open</t>
        </is>
      </c>
      <c r="G120" s="10" t="n"/>
      <c r="H120" s="11" t="inlineStr">
        <is>
          <t>Pass</t>
        </is>
      </c>
      <c r="I120" s="8" t="inlineStr">
        <is>
          <t>QA 2026-10-15 (by hand, agent-driven Chromium) admin at 1366 and 390: Enquiries "Awaiting owner" filter (4), Visits (7), Deals (3, ₹1.68 Cr), Funnel tabs; Responded on an enquiry -&gt; "Note added to the listing". No sideways scroll at 390.</t>
        </is>
      </c>
      <c r="J120" s="8" t="inlineStr">
        <is>
          <t>Staff</t>
        </is>
      </c>
      <c r="K120" s="8" t="inlineStr">
        <is>
          <t>Medium</t>
        </is>
      </c>
      <c r="L120" s="8" t="n"/>
      <c r="M120" s="8" t="inlineStr">
        <is>
          <t>Both</t>
        </is>
      </c>
      <c r="N120" s="8" t="inlineStr">
        <is>
          <t>Manual</t>
        </is>
      </c>
    </row>
    <row r="121">
      <c r="A121" s="8" t="n">
        <v>120</v>
      </c>
      <c r="B121" s="8" t="inlineStr">
        <is>
          <t>Staff – Support &amp; reports</t>
        </is>
      </c>
      <c r="C121" s="9" t="inlineStr">
        <is>
          <t>Service desks</t>
        </is>
      </c>
      <c r="D121" s="8" t="inlineStr">
        <is>
          <t>Open each service desk (rent agreement, legal, loans, interior, packers, valuation); move a request on.</t>
        </is>
      </c>
      <c r="E121" s="8" t="inlineStr">
        <is>
          <t>Request status changes and the user sees it.</t>
        </is>
      </c>
      <c r="F121" s="10" t="inlineStr">
        <is>
          <t>Open</t>
        </is>
      </c>
      <c r="G121" s="10" t="n"/>
      <c r="H121" s="11" t="inlineStr">
        <is>
          <t>Pass</t>
        </is>
      </c>
      <c r="I121" s="8" t="inlineStr">
        <is>
          <t>Verified by the owner in the sandbox (SB-01), 2026-10-15. QA 2026-10-15 admin at 1366, 1920 and 390: Rent Agreement, Home Loans, Property &amp; Legal, Interior, Packers, Valuation desks all open with no errors and no sideways scroll, but every queue is empty: desks only receive paid requests and no payment can be made locally (Cashfree sandbox needed, SB-01). Staff 9000000101 cannot open loans/legal/interior/packers/valuation (redirected to /staff).</t>
        </is>
      </c>
      <c r="J121" s="8" t="inlineStr">
        <is>
          <t>Staff</t>
        </is>
      </c>
      <c r="K121" s="8" t="inlineStr">
        <is>
          <t>Medium</t>
        </is>
      </c>
      <c r="L121" s="8" t="inlineStr">
        <is>
          <t>SB-01</t>
        </is>
      </c>
      <c r="M121" s="8" t="inlineStr">
        <is>
          <t>Both</t>
        </is>
      </c>
      <c r="N121" s="8" t="inlineStr">
        <is>
          <t>Manual</t>
        </is>
      </c>
    </row>
    <row r="122">
      <c r="A122" s="8" t="n">
        <v>121</v>
      </c>
      <c r="B122" s="8" t="inlineStr">
        <is>
          <t>Staff – Support &amp; reports</t>
        </is>
      </c>
      <c r="C122" s="9" t="inlineStr">
        <is>
          <t>Help feedback</t>
        </is>
      </c>
      <c r="D122" s="8" t="inlineStr">
        <is>
          <t>Open Help feedback.</t>
        </is>
      </c>
      <c r="E122" s="8" t="inlineStr">
        <is>
          <t>Votes and comments from Help articles are listed.</t>
        </is>
      </c>
      <c r="F122" s="10" t="inlineStr">
        <is>
          <t>Open</t>
        </is>
      </c>
      <c r="G122" s="10" t="n"/>
      <c r="H122" s="11" t="inlineStr">
        <is>
          <t>Pass</t>
        </is>
      </c>
      <c r="I122" s="8" t="inlineStr">
        <is>
          <t>QA 2026-10-15 admin at 1366/1920/390: Help feedback opens, Articles/Comments tabs, empty state "No feedback yet". Staff level is redirected away and GET /admin/help-feedback returns 403 for staff and manager.</t>
        </is>
      </c>
      <c r="J122" s="8" t="inlineStr">
        <is>
          <t>Staff</t>
        </is>
      </c>
      <c r="K122" s="8" t="inlineStr">
        <is>
          <t>Low</t>
        </is>
      </c>
      <c r="L122" s="8" t="n"/>
      <c r="M122" s="8" t="inlineStr">
        <is>
          <t>Both</t>
        </is>
      </c>
      <c r="N122" s="8" t="inlineStr">
        <is>
          <t>Manual</t>
        </is>
      </c>
    </row>
    <row r="123">
      <c r="A123" s="8" t="n">
        <v>122</v>
      </c>
      <c r="B123" s="8" t="inlineStr">
        <is>
          <t>Staff – Support &amp; reports</t>
        </is>
      </c>
      <c r="C123" s="9" t="inlineStr">
        <is>
          <t>Ops board</t>
        </is>
      </c>
      <c r="D123" s="8" t="inlineStr">
        <is>
          <t>Open the ops board.</t>
        </is>
      </c>
      <c r="E123" s="8" t="inlineStr">
        <is>
          <t>Work items and counts load.</t>
        </is>
      </c>
      <c r="F123" s="10" t="inlineStr">
        <is>
          <t>Open</t>
        </is>
      </c>
      <c r="G123" s="10" t="n"/>
      <c r="H123" s="11" t="inlineStr">
        <is>
          <t>Pass</t>
        </is>
      </c>
      <c r="I123" s="8" t="inlineStr">
        <is>
          <t>QA 2026-10-15 admin at 1366/1920/390: /admin Dashboard shows SLA health (listing approval, ticket pickup) and queues; /ops redirects to /admin; no console errors.</t>
        </is>
      </c>
      <c r="J123" s="8" t="inlineStr">
        <is>
          <t>Staff</t>
        </is>
      </c>
      <c r="K123" s="8" t="inlineStr">
        <is>
          <t>Medium</t>
        </is>
      </c>
      <c r="L123" s="8" t="n"/>
      <c r="M123" s="8" t="inlineStr">
        <is>
          <t>Both</t>
        </is>
      </c>
      <c r="N123" s="8" t="inlineStr">
        <is>
          <t>Manual</t>
        </is>
      </c>
    </row>
    <row r="124">
      <c r="A124" s="8" t="n">
        <v>123</v>
      </c>
      <c r="B124" s="8" t="inlineStr">
        <is>
          <t>Admin – Users</t>
        </is>
      </c>
      <c r="C124" s="9" t="inlineStr">
        <is>
          <t>Find users</t>
        </is>
      </c>
      <c r="D124" s="8" t="inlineStr">
        <is>
          <t>Open Users; search by name / number; open one.</t>
        </is>
      </c>
      <c r="E124" s="8" t="inlineStr">
        <is>
          <t>Results and user details load.</t>
        </is>
      </c>
      <c r="F124" s="10" t="inlineStr">
        <is>
          <t>Open</t>
        </is>
      </c>
      <c r="G124" s="10" t="n"/>
      <c r="H124" s="11" t="inlineStr">
        <is>
          <t>Pass</t>
        </is>
      </c>
      <c r="I124" s="8" t="inlineStr">
        <is>
          <t>QA 2026-10-14 (by hand, agent-driven): Admin found users by mobile on a 390 phone and at 1366. || Earlier: QA 2026-10-12: 10 automated browser checks passed (2 test files).</t>
        </is>
      </c>
      <c r="J124" s="8" t="inlineStr">
        <is>
          <t>Staff, Admin</t>
        </is>
      </c>
      <c r="K124" s="8" t="inlineStr">
        <is>
          <t>High</t>
        </is>
      </c>
      <c r="L124" s="8" t="n"/>
      <c r="M124" s="8" t="inlineStr">
        <is>
          <t>Both</t>
        </is>
      </c>
      <c r="N124" s="8" t="inlineStr">
        <is>
          <t>Both</t>
        </is>
      </c>
    </row>
    <row r="125">
      <c r="A125" s="8" t="n">
        <v>124</v>
      </c>
      <c r="B125" s="8" t="inlineStr">
        <is>
          <t>Admin – Users</t>
        </is>
      </c>
      <c r="C125" s="9" t="inlineStr">
        <is>
          <t>Suspend / reactivate a user</t>
        </is>
      </c>
      <c r="D125" s="8" t="inlineStr">
        <is>
          <t>Admin suspends a user, then reactivates.</t>
        </is>
      </c>
      <c r="E125" s="8" t="inlineStr">
        <is>
          <t>Status changes; user is told; both are audited.</t>
        </is>
      </c>
      <c r="F125" s="10" t="inlineStr">
        <is>
          <t>Open</t>
        </is>
      </c>
      <c r="G125" s="10" t="n"/>
      <c r="H125" s="11" t="inlineStr">
        <is>
          <t>Pass</t>
        </is>
      </c>
      <c r="I125" s="8" t="inlineStr">
        <is>
          <t>QA 2026-10-14 (by hand, agent-driven): Suspend a user: Pass - Admin 390x844: toast "User suspended — their sessions have been ended". OTP verify returns 403. Audit user.suspend. A reason is optional by design. | Reactivate a user: Pass - Admin 1366x768: toast "User reactivated"; sign-in OK. || Earlier: QA 2026-10-12: 4 direct server checks passed.</t>
        </is>
      </c>
      <c r="J125" s="8" t="inlineStr">
        <is>
          <t>Admin</t>
        </is>
      </c>
      <c r="K125" s="8" t="inlineStr">
        <is>
          <t>High</t>
        </is>
      </c>
      <c r="L125" s="8" t="n"/>
      <c r="M125" s="8" t="inlineStr">
        <is>
          <t>Both</t>
        </is>
      </c>
      <c r="N125" s="8" t="inlineStr">
        <is>
          <t>Manual</t>
        </is>
      </c>
    </row>
    <row r="126">
      <c r="A126" s="8" t="n">
        <v>125</v>
      </c>
      <c r="B126" s="8" t="inlineStr">
        <is>
          <t>Admin – Users</t>
        </is>
      </c>
      <c r="C126" s="9" t="inlineStr">
        <is>
          <t>Restore a removed user</t>
        </is>
      </c>
      <c r="D126" s="8" t="inlineStr">
        <is>
          <t>Restore an archived user whose email is now used by another account.</t>
        </is>
      </c>
      <c r="E126" s="8" t="inlineStr">
        <is>
          <t>Clear message; no two accounts share an email.</t>
        </is>
      </c>
      <c r="F126" s="10" t="inlineStr">
        <is>
          <t>Open</t>
        </is>
      </c>
      <c r="G126" s="10" t="n"/>
      <c r="H126" s="11" t="inlineStr">
        <is>
          <t>Not tested</t>
        </is>
      </c>
      <c r="I126" s="8" t="inlineStr">
        <is>
          <t>RETEST: fixed in code + e2e on 2026-10-15 (QA-B73). Previous result: Fail. Set-up via API: user X (Qa Clash X) saved email qa3.clash…@example.test, admin archived X (200), user Y then saved the same email (200 — allowed because X is archived). Admin 9000000000 at 390 and 1366: Users &gt; Archived tab &gt; search "Qa Clash X" finds X, but the card says "Active" and offers Grant badge / Suspend / Flag / "Archive user" — there is NO Restore button, so an archived user cannot be restored from the screen at all. Server side is right: PATCH /users/{id}/restore returns 409 "Another active account already uses qa3.clash…@example.test. Archive or change the email on that account first, then restore this one." and X stays archived (no two live accounts share the email). Cause seen on the wire: the list row has status "active" and no archived field, so the console never knows the user is archived. Env: Chromium 390x844 + 1366x768; admin. Evidence mt34-p390-restore-clash.png, mt34-d1366-restore-clash.png.</t>
        </is>
      </c>
      <c r="J126" s="8" t="inlineStr">
        <is>
          <t>Admin</t>
        </is>
      </c>
      <c r="K126" s="8" t="inlineStr">
        <is>
          <t>High</t>
        </is>
      </c>
      <c r="L126" s="8" t="inlineStr">
        <is>
          <t>QA-B73</t>
        </is>
      </c>
      <c r="M126" s="8" t="inlineStr">
        <is>
          <t>Both</t>
        </is>
      </c>
      <c r="N126" s="8" t="inlineStr">
        <is>
          <t>Manual</t>
        </is>
      </c>
    </row>
    <row r="127">
      <c r="A127" s="8" t="n">
        <v>126</v>
      </c>
      <c r="B127" s="8" t="inlineStr">
        <is>
          <t>Admin – Users</t>
        </is>
      </c>
      <c r="C127" s="9" t="inlineStr">
        <is>
          <t>Team &amp; access</t>
        </is>
      </c>
      <c r="D127" s="8" t="inlineStr">
        <is>
          <t>Add a staff member, change their role/desks, remove them.</t>
        </is>
      </c>
      <c r="E127" s="8" t="inlineStr">
        <is>
          <t>Changes apply at once to what they can open.</t>
        </is>
      </c>
      <c r="F127" s="10" t="inlineStr">
        <is>
          <t>Open</t>
        </is>
      </c>
      <c r="G127" s="10" t="n"/>
      <c r="H127" s="11" t="inlineStr">
        <is>
          <t>Pass</t>
        </is>
      </c>
      <c r="I127" s="8" t="inlineStr">
        <is>
          <t>QA 2026-10-15 admin: Add member empty -&gt; "Name is required" (1366); Add member at 390 (double tap) -&gt; one "Member created" with a 7-day invite link; Edit at 1366 added Refunds desk -&gt; "Member updated"; Suspend at 390 -&gt; "Qa Desk Tester suspended", Suspended tab 1. There is no hard delete by design. Note: Suspend acts in one tap with no confirm or reason.</t>
        </is>
      </c>
      <c r="J127" s="8" t="inlineStr">
        <is>
          <t>Admin</t>
        </is>
      </c>
      <c r="K127" s="8" t="inlineStr">
        <is>
          <t>Critical</t>
        </is>
      </c>
      <c r="L127" s="8" t="n"/>
      <c r="M127" s="8" t="inlineStr">
        <is>
          <t>Both</t>
        </is>
      </c>
      <c r="N127" s="8" t="inlineStr">
        <is>
          <t>Manual</t>
        </is>
      </c>
    </row>
    <row r="128">
      <c r="A128" s="8" t="n">
        <v>127</v>
      </c>
      <c r="B128" s="8" t="inlineStr">
        <is>
          <t>Admin – Users</t>
        </is>
      </c>
      <c r="C128" s="9" t="inlineStr">
        <is>
          <t>Team activity</t>
        </is>
      </c>
      <c r="D128" s="8" t="inlineStr">
        <is>
          <t>Open Team Activity.</t>
        </is>
      </c>
      <c r="E128" s="8" t="inlineStr">
        <is>
          <t>Recent staff actions are listed.</t>
        </is>
      </c>
      <c r="F128" s="10" t="inlineStr">
        <is>
          <t>Open</t>
        </is>
      </c>
      <c r="G128" s="10" t="n"/>
      <c r="H128" s="11" t="inlineStr">
        <is>
          <t>Pass</t>
        </is>
      </c>
      <c r="I128" s="8" t="inlineStr">
        <is>
          <t>QA 2026-10-15 admin at 1366/390: Team Activity Performance and Activity log tabs; log lists every back-office action (FAQ create, note, etc.). Staff level is redirected; GET /admin/staff-activity 403 for staff, 200 for manager.</t>
        </is>
      </c>
      <c r="J128" s="8" t="inlineStr">
        <is>
          <t>Manager, Admin</t>
        </is>
      </c>
      <c r="K128" s="8" t="inlineStr">
        <is>
          <t>Medium</t>
        </is>
      </c>
      <c r="L128" s="8" t="n"/>
      <c r="M128" s="8" t="inlineStr">
        <is>
          <t>Both</t>
        </is>
      </c>
      <c r="N128" s="8" t="inlineStr">
        <is>
          <t>Manual</t>
        </is>
      </c>
    </row>
    <row r="129">
      <c r="A129" s="8" t="n">
        <v>128</v>
      </c>
      <c r="B129" s="8" t="inlineStr">
        <is>
          <t>Admin – Audit trail</t>
        </is>
      </c>
      <c r="C129" s="9" t="inlineStr">
        <is>
          <t>User actions audited</t>
        </is>
      </c>
      <c r="D129" s="8" t="inlineStr">
        <is>
          <t>Suspend and reactivate a user, then open the audit log and the user timeline.</t>
        </is>
      </c>
      <c r="E129" s="8" t="inlineStr">
        <is>
          <t>Both actions appear with who and when.</t>
        </is>
      </c>
      <c r="F129" s="10" t="inlineStr">
        <is>
          <t>Open</t>
        </is>
      </c>
      <c r="G129" s="10" t="n"/>
      <c r="H129" s="11" t="inlineStr">
        <is>
          <t>Pass</t>
        </is>
      </c>
      <c r="I129" s="8" t="inlineStr">
        <is>
          <t>QA 2026-10-14 (by hand, agent-driven): Erasure wrote erasure.request + erasure.execute; suspend/reactivate and badge grant appear in the audit trail (1366). || Earlier: QA 2026-10-12: 2 direct server checks passed.</t>
        </is>
      </c>
      <c r="J129" s="8" t="inlineStr">
        <is>
          <t>Admin</t>
        </is>
      </c>
      <c r="K129" s="8" t="inlineStr">
        <is>
          <t>High</t>
        </is>
      </c>
      <c r="L129" s="8" t="n"/>
      <c r="M129" s="8" t="inlineStr">
        <is>
          <t>Desktop</t>
        </is>
      </c>
      <c r="N129" s="8" t="inlineStr">
        <is>
          <t>Manual</t>
        </is>
      </c>
    </row>
    <row r="130">
      <c r="A130" s="8" t="n">
        <v>129</v>
      </c>
      <c r="B130" s="8" t="inlineStr">
        <is>
          <t>Admin – Audit trail</t>
        </is>
      </c>
      <c r="C130" s="9" t="inlineStr">
        <is>
          <t>Listing decisions audited</t>
        </is>
      </c>
      <c r="D130" s="8" t="inlineStr">
        <is>
          <t>Approve, reject and override listings; open the audit log.</t>
        </is>
      </c>
      <c r="E130" s="8" t="inlineStr">
        <is>
          <t>Each decision appears.</t>
        </is>
      </c>
      <c r="F130" s="10" t="inlineStr">
        <is>
          <t>Open</t>
        </is>
      </c>
      <c r="G130" s="10" t="n"/>
      <c r="H130" s="11" t="inlineStr">
        <is>
          <t>Pass</t>
        </is>
      </c>
      <c r="I130" s="8" t="inlineStr">
        <is>
          <t>QA 2026-10-14 (by hand, agent-driven): Approve / needs info / reject decisions appear in the audit trail (1366). || Earlier: QA 2026-10-12: 1 direct server checks passed.</t>
        </is>
      </c>
      <c r="J130" s="8" t="inlineStr">
        <is>
          <t>Admin</t>
        </is>
      </c>
      <c r="K130" s="8" t="inlineStr">
        <is>
          <t>High</t>
        </is>
      </c>
      <c r="L130" s="8" t="n"/>
      <c r="M130" s="8" t="inlineStr">
        <is>
          <t>Desktop</t>
        </is>
      </c>
      <c r="N130" s="8" t="inlineStr">
        <is>
          <t>Manual</t>
        </is>
      </c>
    </row>
    <row r="131">
      <c r="A131" s="8" t="n">
        <v>130</v>
      </c>
      <c r="B131" s="8" t="inlineStr">
        <is>
          <t>Admin – Payments/Refunds</t>
        </is>
      </c>
      <c r="C131" s="9" t="inlineStr">
        <is>
          <t>Finance console</t>
        </is>
      </c>
      <c r="D131" s="8" t="inlineStr">
        <is>
          <t>Open Finance; filter by status.</t>
        </is>
      </c>
      <c r="E131" s="8" t="inlineStr">
        <is>
          <t>Payments and their states are listed correctly.</t>
        </is>
      </c>
      <c r="F131" s="10" t="inlineStr">
        <is>
          <t>Open</t>
        </is>
      </c>
      <c r="G131" s="10" t="n"/>
      <c r="H131" s="11" t="inlineStr">
        <is>
          <t>Pass</t>
        </is>
      </c>
      <c r="I131" s="8" t="inlineStr">
        <is>
          <t>QA 2026-10-15 admin at 1366 and 390: Finance Overview and Transactions; status filter Paid 0, Pending 1, All 1. Staff level redirected; GET /admin/refunds 403 for staff.</t>
        </is>
      </c>
      <c r="J131" s="8" t="inlineStr">
        <is>
          <t>Admin</t>
        </is>
      </c>
      <c r="K131" s="8" t="inlineStr">
        <is>
          <t>High</t>
        </is>
      </c>
      <c r="L131" s="8" t="n"/>
      <c r="M131" s="8" t="inlineStr">
        <is>
          <t>Both</t>
        </is>
      </c>
      <c r="N131" s="8" t="inlineStr">
        <is>
          <t>Manual</t>
        </is>
      </c>
    </row>
    <row r="132">
      <c r="A132" s="8" t="n">
        <v>131</v>
      </c>
      <c r="B132" s="8" t="inlineStr">
        <is>
          <t>Admin – Payments/Refunds</t>
        </is>
      </c>
      <c r="C132" s="9" t="inlineStr">
        <is>
          <t>Refund with maker-checker</t>
        </is>
      </c>
      <c r="D132" s="8" t="inlineStr">
        <is>
          <t>Staff A requests a refund for a paid service; A tries to approve; staff B approves.</t>
        </is>
      </c>
      <c r="E132" s="8" t="inlineStr">
        <is>
          <t>A is refused; B approves; user sees the refund.</t>
        </is>
      </c>
      <c r="F132" s="10" t="inlineStr">
        <is>
          <t>Open</t>
        </is>
      </c>
      <c r="G132" s="10" t="n"/>
      <c r="H132" s="11" t="inlineStr">
        <is>
          <t>Pass</t>
        </is>
      </c>
      <c r="I132" s="8" t="inlineStr">
        <is>
          <t>Verified by the owner in the sandbox (SB-03), 2026-10-15. Blocked: a refund needs a paid item, and paying needs the Cashfree sandbox (no live keys here; no real payments). The test database holds no paid orders or refund requests. What was checked by hand: Refunds desk opens for manager at 1366 and admin at 390 with tabs Pending / Approved / Rejected / Automatic / Disputes, all 0, "No refunds here.", no sideways scroll. Maker-checker (staff A cannot approve own request; staff B can) still to be done once a sandbox payment exists — see SB item in tasks/todo.md. Evidence mt35-d1366-refunds.png. QA 2026-10-16: a second approval of a refund already decided (or losing a race) now returns 409 "This refund is already approved" instead of 404 (RA-QA-05); RentAgreementRefundTest green.</t>
        </is>
      </c>
      <c r="J132" s="8" t="inlineStr">
        <is>
          <t>Staff, Admin</t>
        </is>
      </c>
      <c r="K132" s="8" t="inlineStr">
        <is>
          <t>Critical</t>
        </is>
      </c>
      <c r="L132" s="8" t="inlineStr">
        <is>
          <t>SB-03</t>
        </is>
      </c>
      <c r="M132" s="8" t="inlineStr">
        <is>
          <t>Both</t>
        </is>
      </c>
      <c r="N132" s="8" t="inlineStr">
        <is>
          <t>Manual</t>
        </is>
      </c>
    </row>
    <row r="133">
      <c r="A133" s="8" t="n">
        <v>132</v>
      </c>
      <c r="B133" s="8" t="inlineStr">
        <is>
          <t>Admin – Payments/Refunds</t>
        </is>
      </c>
      <c r="C133" s="9" t="inlineStr">
        <is>
          <t>Payment problem as a user</t>
        </is>
      </c>
      <c r="D133" s="8" t="inlineStr">
        <is>
          <t>With a paid pass or pack, open Dashboard &gt; Plan &amp; Billing: ask for a refund on a row that qualifies; on one that does not, tap "Ask for a review".</t>
        </is>
      </c>
      <c r="E133" s="8" t="inlineStr">
        <is>
          <t>A qualifying refund reaches /admin/refunds and the item is frozen while staff review; "Ask for a review" opens a Support ticket with the invoice number filled in. There is no separate dispute form.</t>
        </is>
      </c>
      <c r="F133" s="10" t="inlineStr">
        <is>
          <t>Open</t>
        </is>
      </c>
      <c r="G133" s="10" t="inlineStr">
        <is>
          <t>Help</t>
        </is>
      </c>
      <c r="H133" s="11" t="inlineStr">
        <is>
          <t>Not tested</t>
        </is>
      </c>
      <c r="I133" s="8" t="inlineStr">
        <is>
          <t xml:space="preserve">Decided 2026-10-15: no in-app dispute form; customers use refund requests or Support, and bank chargebacks arrive from Cashfree and freeze only that order. Previous result: Blocked. </t>
        </is>
      </c>
      <c r="J133" s="8" t="inlineStr">
        <is>
          <t>Buyer, Admin</t>
        </is>
      </c>
      <c r="K133" s="8" t="inlineStr">
        <is>
          <t>Medium</t>
        </is>
      </c>
      <c r="L133" s="8" t="inlineStr">
        <is>
          <t>SB-03</t>
        </is>
      </c>
      <c r="M133" s="8" t="inlineStr">
        <is>
          <t>Both</t>
        </is>
      </c>
      <c r="N133" s="8" t="inlineStr">
        <is>
          <t>Manual</t>
        </is>
      </c>
    </row>
    <row r="134">
      <c r="A134" s="8" t="n">
        <v>133</v>
      </c>
      <c r="B134" s="8" t="inlineStr">
        <is>
          <t>Admin – Content &amp; settings</t>
        </is>
      </c>
      <c r="C134" s="9" t="inlineStr">
        <is>
          <t>Content desk &amp; blog</t>
        </is>
      </c>
      <c r="D134" s="8" t="inlineStr">
        <is>
          <t>Create, edit and publish a content item.</t>
        </is>
      </c>
      <c r="E134" s="8" t="inlineStr">
        <is>
          <t>It shows on the public site.</t>
        </is>
      </c>
      <c r="F134" s="10" t="inlineStr">
        <is>
          <t>Open</t>
        </is>
      </c>
      <c r="G134" s="10" t="n"/>
      <c r="H134" s="11" t="inlineStr">
        <is>
          <t>Not tested</t>
        </is>
      </c>
      <c r="I134" s="8" t="inlineStr">
        <is>
          <t>RETEST: fixed in code + e2e on 2026-10-15 (QA-B46). Previous result: Fail. QA 2026-10-15 admin. Steps: /admin/content &gt; Add FAQ &gt; Save empty; then fill and double-click Save (1366); Edit an FAQ at 390 &gt; Save; Archive and Restore. Expected: clear message; one FAQ. Actual: "A faqs item needs 'question'"; double-click created 2 FAQs. Edit ("Saved"), Archive (confirm "It will be hidden but preserved") and Restore work. Env Chromium 1366x768 &amp; 390x844, admin. Evidence mt10-d1366-content-added.png. Test FAQs archived.</t>
        </is>
      </c>
      <c r="J134" s="8" t="inlineStr">
        <is>
          <t>Staff, Admin</t>
        </is>
      </c>
      <c r="K134" s="8" t="inlineStr">
        <is>
          <t>Medium</t>
        </is>
      </c>
      <c r="L134" s="8" t="inlineStr">
        <is>
          <t>QA-B46</t>
        </is>
      </c>
      <c r="M134" s="8" t="inlineStr">
        <is>
          <t>Both</t>
        </is>
      </c>
      <c r="N134" s="8" t="inlineStr">
        <is>
          <t>Manual</t>
        </is>
      </c>
    </row>
    <row r="135">
      <c r="A135" s="8" t="n">
        <v>134</v>
      </c>
      <c r="B135" s="8" t="inlineStr">
        <is>
          <t>Admin – Content &amp; settings</t>
        </is>
      </c>
      <c r="C135" s="9" t="inlineStr">
        <is>
          <t>Localities &amp; societies</t>
        </is>
      </c>
      <c r="D135" s="8" t="inlineStr">
        <is>
          <t>Edit a locality and a society; retire a locality.</t>
        </is>
      </c>
      <c r="E135" s="8" t="inlineStr">
        <is>
          <t>Changes show on the public pages.</t>
        </is>
      </c>
      <c r="F135" s="10" t="inlineStr">
        <is>
          <t>Open</t>
        </is>
      </c>
      <c r="G135" s="10" t="n"/>
      <c r="H135" s="11" t="inlineStr">
        <is>
          <t>Pass</t>
        </is>
      </c>
      <c r="I135" s="8" t="inlineStr">
        <is>
          <t>QA 2026-10-15 admin: Places &gt; Areas: Retire Alhatwadi (dialog "will stop accepting new listings") -&gt; Retired -&gt; Restore -&gt; Active (1366). Society details &gt; Edit Aditya Shagun &gt; Save -&gt; "Society details saved" (390).</t>
        </is>
      </c>
      <c r="J135" s="8" t="inlineStr">
        <is>
          <t>Staff, Admin</t>
        </is>
      </c>
      <c r="K135" s="8" t="inlineStr">
        <is>
          <t>Medium</t>
        </is>
      </c>
      <c r="L135" s="8" t="n"/>
      <c r="M135" s="8" t="inlineStr">
        <is>
          <t>Both</t>
        </is>
      </c>
      <c r="N135" s="8" t="inlineStr">
        <is>
          <t>Manual</t>
        </is>
      </c>
    </row>
    <row r="136">
      <c r="A136" s="8" t="n">
        <v>135</v>
      </c>
      <c r="B136" s="8" t="inlineStr">
        <is>
          <t>Admin – Content &amp; settings</t>
        </is>
      </c>
      <c r="C136" s="9" t="inlineStr">
        <is>
          <t>Settings &amp; integrations page</t>
        </is>
      </c>
      <c r="D136" s="8" t="inlineStr">
        <is>
          <t>Open Settings and Integrations.</t>
        </is>
      </c>
      <c r="E136" s="8" t="inlineStr">
        <is>
          <t>Settings save. Integrations show their on/off state without showing any secret.</t>
        </is>
      </c>
      <c r="F136" s="10" t="inlineStr">
        <is>
          <t>Open</t>
        </is>
      </c>
      <c r="G136" s="10" t="n"/>
      <c r="H136" s="11" t="inlineStr">
        <is>
          <t>Pass</t>
        </is>
      </c>
      <c r="I136" s="8" t="inlineStr">
        <is>
          <t>QA 2026-10-15 admin at 1366/1920/390: Settings (General, Fees, Maps, Feature flags tabs) and Integrations (ZeptoMail, WhatsApp, payments in Mock mode; Email/WhatsApp/Failed filters) open with no errors. Staff and manager get 403 from /admin/settings and /admin/integrations.</t>
        </is>
      </c>
      <c r="J136" s="8" t="inlineStr">
        <is>
          <t>Admin</t>
        </is>
      </c>
      <c r="K136" s="8" t="inlineStr">
        <is>
          <t>High</t>
        </is>
      </c>
      <c r="L136" s="8" t="n"/>
      <c r="M136" s="8" t="inlineStr">
        <is>
          <t>Both</t>
        </is>
      </c>
      <c r="N136" s="8" t="inlineStr">
        <is>
          <t>Manual</t>
        </is>
      </c>
    </row>
    <row r="137">
      <c r="A137" s="8" t="n">
        <v>136</v>
      </c>
      <c r="B137" s="8" t="inlineStr">
        <is>
          <t>Admin – Content &amp; settings</t>
        </is>
      </c>
      <c r="C137" s="9" t="inlineStr">
        <is>
          <t>Analytics</t>
        </is>
      </c>
      <c r="D137" s="8" t="inlineStr">
        <is>
          <t>Open Analytics.</t>
        </is>
      </c>
      <c r="E137" s="8" t="inlineStr">
        <is>
          <t>Numbers load and match the filters.</t>
        </is>
      </c>
      <c r="F137" s="10" t="inlineStr">
        <is>
          <t>Open</t>
        </is>
      </c>
      <c r="G137" s="10" t="n"/>
      <c r="H137" s="11" t="inlineStr">
        <is>
          <t>Pass</t>
        </is>
      </c>
      <c r="I137" s="8" t="inlineStr">
        <is>
          <t>QA 2026-10-15 admin at 1366: Analytics Traffic, Engagement, Funnel, Supply Gap, Pricing, SLA tabs all render; also opened at 390 and 1920 without sideways scroll.</t>
        </is>
      </c>
      <c r="J137" s="8" t="inlineStr">
        <is>
          <t>Manager, Admin</t>
        </is>
      </c>
      <c r="K137" s="8" t="inlineStr">
        <is>
          <t>Low</t>
        </is>
      </c>
      <c r="L137" s="8" t="n"/>
      <c r="M137" s="8" t="inlineStr">
        <is>
          <t>Both</t>
        </is>
      </c>
      <c r="N137" s="8" t="inlineStr">
        <is>
          <t>Manual</t>
        </is>
      </c>
    </row>
    <row r="138">
      <c r="A138" s="8" t="n">
        <v>137</v>
      </c>
      <c r="B138" s="8" t="inlineStr">
        <is>
          <t>Admin – Content &amp; settings</t>
        </is>
      </c>
      <c r="C138" s="9" t="inlineStr">
        <is>
          <t>Runbooks, notes, outreach, search</t>
        </is>
      </c>
      <c r="D138" s="8" t="inlineStr">
        <is>
          <t>Open Runbooks, add a note, open Outreach, use the command palette (Ctrl+K).</t>
        </is>
      </c>
      <c r="E138" s="8" t="inlineStr">
        <is>
          <t>All open and work.</t>
        </is>
      </c>
      <c r="F138" s="10" t="inlineStr">
        <is>
          <t>Open</t>
        </is>
      </c>
      <c r="G138" s="10" t="n"/>
      <c r="H138" s="11" t="inlineStr">
        <is>
          <t>Pass</t>
        </is>
      </c>
      <c r="I138" s="8" t="inlineStr">
        <is>
          <t>QA 2026-10-15 admin: Runbooks list and "Daily routine" open; staff note added on a user timeline at 390 (script text shown as plain text, double tap = one note); Ctrl+K focuses the header search and finds pages, runbooks and people (masked mobile). Outreach lives inside Post on Behalf. Keyboard gap QA-B47.</t>
        </is>
      </c>
      <c r="J138" s="8" t="inlineStr">
        <is>
          <t>Staff</t>
        </is>
      </c>
      <c r="K138" s="8" t="inlineStr">
        <is>
          <t>Low</t>
        </is>
      </c>
      <c r="L138" s="8" t="inlineStr">
        <is>
          <t>QA-B47</t>
        </is>
      </c>
      <c r="M138" s="8" t="inlineStr">
        <is>
          <t>Both</t>
        </is>
      </c>
      <c r="N138" s="8" t="inlineStr">
        <is>
          <t>Manual</t>
        </is>
      </c>
    </row>
    <row r="139">
      <c r="A139" s="8" t="n">
        <v>138</v>
      </c>
      <c r="B139" s="8" t="inlineStr">
        <is>
          <t>Admin – Content &amp; settings</t>
        </is>
      </c>
      <c r="C139" s="9" t="inlineStr">
        <is>
          <t>Maps &amp; geo console</t>
        </is>
      </c>
      <c r="D139" s="8" t="inlineStr">
        <is>
          <t>Open Settings &gt; Maps; fix a location; switch "Restrict Places to selected city" off, then on again.</t>
        </is>
      </c>
      <c r="E139" s="8" t="inlineStr">
        <is>
          <t>Each change saves; pin moves; the switch can be flipped back without reloading.</t>
        </is>
      </c>
      <c r="F139" s="10" t="inlineStr">
        <is>
          <t>Open</t>
        </is>
      </c>
      <c r="G139" s="10" t="n"/>
      <c r="H139" s="11" t="inlineStr">
        <is>
          <t>Not tested</t>
        </is>
      </c>
      <c r="I139" s="8" t="inlineStr">
        <is>
          <t>RETEST: fixed in code + e2e on 2026-10-15 (QA-B75). Previous result: Fail. QA 2026-10-15 (by hand) admin 9000000000 at 1366x768 and 390x844, Settings &gt; Maps. Pass: "Restrict Places to selected city" off ("City limit disabled", PUT 200) and back on without reloading; still on after reload. Saving Centre latitude twice in a row both succeed ("Updated Pune map coverage", PUT 200) and survive reload. Fail: "Reset to default" shows the default and writes an audit row, but after reload the custom value is back (QA-B75). The map pin itself could not be seen: Google Maps quota (SB-09). Evidence mt40-*-admin-maps*.png.</t>
        </is>
      </c>
      <c r="J139" s="8" t="inlineStr">
        <is>
          <t>Staff</t>
        </is>
      </c>
      <c r="K139" s="8" t="inlineStr">
        <is>
          <t>Medium</t>
        </is>
      </c>
      <c r="L139" s="8" t="inlineStr">
        <is>
          <t>QA-B75</t>
        </is>
      </c>
      <c r="M139" s="8" t="inlineStr">
        <is>
          <t>Both</t>
        </is>
      </c>
      <c r="N139" s="8" t="inlineStr">
        <is>
          <t>Manual</t>
        </is>
      </c>
    </row>
    <row r="140">
      <c r="A140" s="8" t="n">
        <v>139</v>
      </c>
      <c r="B140" s="8" t="inlineStr">
        <is>
          <t>Flatmates – Posting</t>
        </is>
      </c>
      <c r="C140" s="9" t="inlineStr">
        <is>
          <t>Post a room</t>
        </is>
      </c>
      <c r="D140" s="8" t="inlineStr">
        <is>
          <t>Post a room with single/double sharing and seat count.</t>
        </is>
      </c>
      <c r="E140" s="8" t="inlineStr">
        <is>
          <t>Room is created as "pending review".</t>
        </is>
      </c>
      <c r="F140" s="10" t="inlineStr">
        <is>
          <t>Open</t>
        </is>
      </c>
      <c r="G140" s="10" t="n"/>
      <c r="H140" s="11" t="inlineStr">
        <is>
          <t>Pass</t>
        </is>
      </c>
      <c r="I140" s="8" t="inlineStr">
        <is>
          <t>QA 2026-10-15 at 390x844: Double sharing room -&gt; "2 seats open", ₹6,250 each if 2 share; created as "Under review". Negative rent cannot be typed (minus sign dropped).</t>
        </is>
      </c>
      <c r="J140" s="8" t="inlineStr">
        <is>
          <t>Flatmate lister</t>
        </is>
      </c>
      <c r="K140" s="8" t="inlineStr">
        <is>
          <t>High</t>
        </is>
      </c>
      <c r="L140" s="8" t="n"/>
      <c r="M140" s="8" t="inlineStr">
        <is>
          <t>Phone</t>
        </is>
      </c>
      <c r="N140" s="8" t="inlineStr">
        <is>
          <t>Manual</t>
        </is>
      </c>
    </row>
    <row r="141">
      <c r="A141" s="8" t="n">
        <v>140</v>
      </c>
      <c r="B141" s="8" t="inlineStr">
        <is>
          <t>Flatmates – Posting</t>
        </is>
      </c>
      <c r="C141" s="9" t="inlineStr">
        <is>
          <t>Room form checks</t>
        </is>
      </c>
      <c r="D141" s="8" t="inlineStr">
        <is>
          <t>Enter negative rent, a wrong BHK and an impossible date.</t>
        </is>
      </c>
      <c r="E141" s="8" t="inlineStr">
        <is>
          <t>Each is refused.</t>
        </is>
      </c>
      <c r="F141" s="10" t="inlineStr">
        <is>
          <t>Open</t>
        </is>
      </c>
      <c r="G141" s="10" t="n"/>
      <c r="H141" s="11" t="inlineStr">
        <is>
          <t>Pass</t>
        </is>
      </c>
      <c r="I141" s="8" t="inlineStr">
        <is>
          <t>QA 2026-10-15 (by hand) new lister 9613112217 at 390x844 and 1366x768, room wizard: typing "-500" in Room rent leaves 500 (minus sign not accepted); BHK and room type are fixed choices only; Available From is a picker with past days disabled (18 greyed out) and cannot take a typed impossible date; empty Next names every missing field. Server checks from the earlier pass still refuse a wrong BHK and impossible date. Evidence mt40-*-room-checks.png.</t>
        </is>
      </c>
      <c r="J141" s="8" t="inlineStr">
        <is>
          <t>Flatmate lister</t>
        </is>
      </c>
      <c r="K141" s="8" t="inlineStr">
        <is>
          <t>Medium</t>
        </is>
      </c>
      <c r="L141" s="8" t="n"/>
      <c r="M141" s="8" t="inlineStr">
        <is>
          <t>Both</t>
        </is>
      </c>
      <c r="N141" s="8" t="inlineStr">
        <is>
          <t>Both</t>
        </is>
      </c>
    </row>
    <row r="142">
      <c r="A142" s="8" t="n">
        <v>141</v>
      </c>
      <c r="B142" s="8" t="inlineStr">
        <is>
          <t>Flatmates – Posting</t>
        </is>
      </c>
      <c r="C142" s="9" t="inlineStr">
        <is>
          <t>Clear message for a bad date</t>
        </is>
      </c>
      <c r="D142" s="8" t="inlineStr">
        <is>
          <t>Enter an impossible move-in date (via the API).</t>
        </is>
      </c>
      <c r="E142" s="8" t="inlineStr">
        <is>
          <t>A message names the date field.</t>
        </is>
      </c>
      <c r="F142" s="10" t="n"/>
      <c r="G142" s="10" t="n"/>
      <c r="H142" s="11" t="inlineStr">
        <is>
          <t>Pass</t>
        </is>
      </c>
      <c r="I142" s="8" t="inlineStr">
        <is>
          <t>QA 2026-10-15 via API: availableFrom 2026-02-30 or "not-a-date" -&gt; 400 "Invalid value for field: availableFrom" (names the field). API-only row.</t>
        </is>
      </c>
      <c r="J142" s="8" t="inlineStr">
        <is>
          <t>Flatmate lister</t>
        </is>
      </c>
      <c r="K142" s="8" t="inlineStr">
        <is>
          <t>Low</t>
        </is>
      </c>
      <c r="L142" s="8" t="inlineStr">
        <is>
          <t>QA-09</t>
        </is>
      </c>
      <c r="M142" s="8" t="inlineStr">
        <is>
          <t>Both</t>
        </is>
      </c>
      <c r="N142" s="8" t="inlineStr">
        <is>
          <t>Automated</t>
        </is>
      </c>
    </row>
    <row r="143">
      <c r="A143" s="8" t="n">
        <v>142</v>
      </c>
      <c r="B143" s="8" t="inlineStr">
        <is>
          <t>Flatmates – Posting</t>
        </is>
      </c>
      <c r="C143" s="9" t="inlineStr">
        <is>
          <t>Post a seeker profile</t>
        </is>
      </c>
      <c r="D143" s="8" t="inlineStr">
        <is>
          <t>Post a "looking for a room" profile.</t>
        </is>
      </c>
      <c r="E143" s="8" t="inlineStr">
        <is>
          <t>Profile is created and shows in My listings.</t>
        </is>
      </c>
      <c r="F143" s="10" t="inlineStr">
        <is>
          <t>Open</t>
        </is>
      </c>
      <c r="G143" s="10" t="n"/>
      <c r="H143" s="11" t="inlineStr">
        <is>
          <t>Pass</t>
        </is>
      </c>
      <c r="I143" s="8" t="inlineStr">
        <is>
          <t>QA 2026-10-15 at 1366: empty Post -&gt; "Please add your name / monthly budget / Pick at least one locality"; min 20,000 &gt; max 9,000 -&gt; "Max budget can't be below min"; headline capped at 120; script text in headline/note shows as plain text to a guest at 390 (no alert); double-click = one post; listed in My Properties. Age 150 gives only "Request validation failed" (QA-B49).</t>
        </is>
      </c>
      <c r="J143" s="8" t="inlineStr">
        <is>
          <t>Flatmate seeker</t>
        </is>
      </c>
      <c r="K143" s="8" t="inlineStr">
        <is>
          <t>High</t>
        </is>
      </c>
      <c r="L143" s="8" t="inlineStr">
        <is>
          <t>QA-B49</t>
        </is>
      </c>
      <c r="M143" s="8" t="inlineStr">
        <is>
          <t>Desktop</t>
        </is>
      </c>
      <c r="N143" s="8" t="inlineStr">
        <is>
          <t>Manual</t>
        </is>
      </c>
    </row>
    <row r="144">
      <c r="A144" s="8" t="n">
        <v>143</v>
      </c>
      <c r="B144" s="8" t="inlineStr">
        <is>
          <t>Flatmates – Posting</t>
        </is>
      </c>
      <c r="C144" s="9" t="inlineStr">
        <is>
          <t>Edit a room</t>
        </is>
      </c>
      <c r="D144" s="8" t="inlineStr">
        <is>
          <t>Change the rent of a live room.</t>
        </is>
      </c>
      <c r="E144" s="8" t="inlineStr">
        <is>
          <t>Saved; room stays visible.</t>
        </is>
      </c>
      <c r="F144" s="10" t="inlineStr">
        <is>
          <t>Open</t>
        </is>
      </c>
      <c r="G144" s="10" t="n"/>
      <c r="H144" s="11" t="inlineStr">
        <is>
          <t>Pass</t>
        </is>
      </c>
      <c r="I144" s="8" t="inlineStr">
        <is>
          <t>QA 2026-10-15 host at 1366: Dashboard &gt; My Properties &gt; Edit opens "Edit your room" prefilled (rent 12,500) &gt; change to 13,000 &gt; Save changes (double-click = one PATCH) &gt; back on dashboard; room still public (200) with ₹13,000.</t>
        </is>
      </c>
      <c r="J144" s="8" t="inlineStr">
        <is>
          <t>Flatmate lister</t>
        </is>
      </c>
      <c r="K144" s="8" t="inlineStr">
        <is>
          <t>Medium</t>
        </is>
      </c>
      <c r="L144" s="8" t="n"/>
      <c r="M144" s="8" t="inlineStr">
        <is>
          <t>Desktop</t>
        </is>
      </c>
      <c r="N144" s="8" t="inlineStr">
        <is>
          <t>Manual</t>
        </is>
      </c>
    </row>
    <row r="145">
      <c r="A145" s="8" t="n">
        <v>144</v>
      </c>
      <c r="B145" s="8" t="inlineStr">
        <is>
          <t>Flatmates – Posting</t>
        </is>
      </c>
      <c r="C145" s="9" t="inlineStr">
        <is>
          <t>Close a room</t>
        </is>
      </c>
      <c r="D145" s="8" t="inlineStr">
        <is>
          <t>Close a room; try to show interest in it afterwards.</t>
        </is>
      </c>
      <c r="E145" s="8" t="inlineStr">
        <is>
          <t>Room leaves the feed; new interest refused.</t>
        </is>
      </c>
      <c r="F145" s="10" t="inlineStr">
        <is>
          <t>Open</t>
        </is>
      </c>
      <c r="G145" s="10" t="n"/>
      <c r="H145" s="11" t="inlineStr">
        <is>
          <t>Pass</t>
        </is>
      </c>
      <c r="I145" s="8" t="inlineStr">
        <is>
          <t>QA 2026-10-15 (by hand): lister 9613112217 at 1366x768 and lister 9700000032 at 390x844, Dashboard &gt; My Properties &gt; Delete on a room &gt; browser confirm "Take ... down? Buyers will stop seeing it." &gt; OK: DELETE 204, toast "... taken down", the card goes, the room leaves /flatmates, its page says "This post isn't available", and a seeker's new interest is refused (404 Room not found). Rooms in a flat let room by room cannot be deleted (QA-B76). Evidence mt40-*-fm-closed.png.</t>
        </is>
      </c>
      <c r="J145" s="8" t="inlineStr">
        <is>
          <t>Flatmate lister</t>
        </is>
      </c>
      <c r="K145" s="8" t="inlineStr">
        <is>
          <t>High</t>
        </is>
      </c>
      <c r="L145" s="8" t="inlineStr">
        <is>
          <t>QA-B76</t>
        </is>
      </c>
      <c r="M145" s="8" t="inlineStr">
        <is>
          <t>Both</t>
        </is>
      </c>
      <c r="N145" s="8" t="inlineStr">
        <is>
          <t>Both</t>
        </is>
      </c>
    </row>
    <row r="146">
      <c r="A146" s="8" t="n">
        <v>145</v>
      </c>
      <c r="B146" s="8" t="inlineStr">
        <is>
          <t>Flatmates – Posting</t>
        </is>
      </c>
      <c r="C146" s="9" t="inlineStr">
        <is>
          <t>Renew a post</t>
        </is>
      </c>
      <c r="D146" s="8" t="inlineStr">
        <is>
          <t>Renew (extend) your post. Another user tries to renew it.</t>
        </is>
      </c>
      <c r="E146" s="8" t="inlineStr">
        <is>
          <t>Yours renews; the other user is refused.</t>
        </is>
      </c>
      <c r="F146" s="10" t="inlineStr">
        <is>
          <t>Open</t>
        </is>
      </c>
      <c r="G146" s="10" t="n"/>
      <c r="H146" s="11" t="inlineStr">
        <is>
          <t>Pass</t>
        </is>
      </c>
      <c r="I146" s="8" t="inlineStr">
        <is>
          <t>QA 2026-10-15 (by hand): expired two rooms of lister 9700000031 in the test DB; at 390x844 and 1366x768 the card shows Expired and "Renew for 30 days"; tapping it shows "... is back on the board for 30 days", the room is live again until +30 days. Another user (9614730195) renewing the same room by API gets 403 "You can only renew your own flatmate post." A double-tap sends two renew calls and two toasts (harmless). Evidence mt40-*-fm-renew.png.</t>
        </is>
      </c>
      <c r="J146" s="8" t="inlineStr">
        <is>
          <t>Flatmates</t>
        </is>
      </c>
      <c r="K146" s="8" t="inlineStr">
        <is>
          <t>Medium</t>
        </is>
      </c>
      <c r="L146" s="8" t="n"/>
      <c r="M146" s="8" t="inlineStr">
        <is>
          <t>Both</t>
        </is>
      </c>
      <c r="N146" s="8" t="inlineStr">
        <is>
          <t>Both</t>
        </is>
      </c>
    </row>
    <row r="147">
      <c r="A147" s="8" t="n">
        <v>146</v>
      </c>
      <c r="B147" s="8" t="inlineStr">
        <is>
          <t>Flatmates – Posting</t>
        </is>
      </c>
      <c r="C147" s="9" t="inlineStr">
        <is>
          <t>Post expires</t>
        </is>
      </c>
      <c r="D147" s="8" t="inlineStr">
        <is>
          <t>Leave a post until it expires.</t>
        </is>
      </c>
      <c r="E147" s="8" t="inlineStr">
        <is>
          <t>It leaves the feed and the owner is offered a renew.</t>
        </is>
      </c>
      <c r="F147" s="10" t="inlineStr">
        <is>
          <t>Open</t>
        </is>
      </c>
      <c r="G147" s="10" t="n"/>
      <c r="H147" s="11" t="inlineStr">
        <is>
          <t>Pass</t>
        </is>
      </c>
      <c r="I147" s="8" t="inlineStr">
        <is>
          <t>QA 2026-10-15: seeker post backdated to expire; hourly job at 04:05 IST marked it Expired and sent in-app notice "Your flatmate post is off the board". Guest opening it gets 404. At 390 My Properties card showed "Expired" + "Renew for 30 days"; tapping it put the post live until +30 days (double-tap sent 2 requests but the date did not double). Evidence mt12-p390-expired-mylistings.png, mt12-p390-renewed.png</t>
        </is>
      </c>
      <c r="J147" s="8" t="inlineStr">
        <is>
          <t>Flatmates</t>
        </is>
      </c>
      <c r="K147" s="8" t="inlineStr">
        <is>
          <t>Medium</t>
        </is>
      </c>
      <c r="L147" s="8" t="n"/>
      <c r="M147" s="8" t="inlineStr">
        <is>
          <t>Phone</t>
        </is>
      </c>
      <c r="N147" s="8" t="inlineStr">
        <is>
          <t>Manual</t>
        </is>
      </c>
    </row>
    <row r="148">
      <c r="A148" s="8" t="n">
        <v>147</v>
      </c>
      <c r="B148" s="8" t="inlineStr">
        <is>
          <t>Flatmates – Posting</t>
        </is>
      </c>
      <c r="C148" s="9" t="inlineStr">
        <is>
          <t>Photo limit</t>
        </is>
      </c>
      <c r="D148" s="8" t="inlineStr">
        <is>
          <t>Add more photos than allowed.</t>
        </is>
      </c>
      <c r="E148" s="8" t="inlineStr">
        <is>
          <t>Extra photos are refused with a message.</t>
        </is>
      </c>
      <c r="F148" s="10" t="inlineStr">
        <is>
          <t>Open</t>
        </is>
      </c>
      <c r="G148" s="10" t="n"/>
      <c r="H148" s="11" t="inlineStr">
        <is>
          <t>Not tested</t>
        </is>
      </c>
      <c r="I148" s="8" t="inlineStr">
        <is>
          <t>RETEST: fixed in code + e2e on 2026-10-15 (QA-B74; QA-B48). Previous result: Fail. QA 2026-10-15 at 390x844. Steps: room wizard Photos step, pick 11 photos at once. Expected: extra photo refused with a message. Actual: 10 tiles kept, the 11th dropped silently, picker disabled at 10/10; "Up to 10 photos" hint only. Env Chromium 390x844, new lister. Evidence mt11-p390-room-photos11.png. Also QA-B48 (failed photo blocks posting).</t>
        </is>
      </c>
      <c r="J148" s="8" t="inlineStr">
        <is>
          <t>Flatmate lister</t>
        </is>
      </c>
      <c r="K148" s="8" t="inlineStr">
        <is>
          <t>Medium</t>
        </is>
      </c>
      <c r="L148" s="8" t="inlineStr">
        <is>
          <t>QA-B74; QA-B48</t>
        </is>
      </c>
      <c r="M148" s="8" t="inlineStr">
        <is>
          <t>Phone</t>
        </is>
      </c>
      <c r="N148" s="8" t="inlineStr">
        <is>
          <t>Manual</t>
        </is>
      </c>
    </row>
    <row r="149">
      <c r="A149" s="8" t="n">
        <v>148</v>
      </c>
      <c r="B149" s="8" t="inlineStr">
        <is>
          <t>Flatmates – Posting</t>
        </is>
      </c>
      <c r="C149" s="9" t="inlineStr">
        <is>
          <t>Groups (team up)</t>
        </is>
      </c>
      <c r="D149" s="8" t="inlineStr">
        <is>
          <t>Create a group, invite / join, chat, leave.</t>
        </is>
      </c>
      <c r="E149" s="8" t="inlineStr">
        <is>
          <t>Membership and chat work for every member.</t>
        </is>
      </c>
      <c r="F149" s="10" t="inlineStr">
        <is>
          <t>Open</t>
        </is>
      </c>
      <c r="G149" s="10" t="n"/>
      <c r="H149" s="11" t="inlineStr">
        <is>
          <t>Pass</t>
        </is>
      </c>
      <c r="I149" s="8" t="inlineStr">
        <is>
          <t>QA 2026-10-15: creator at 390 made a group (empty form shows 4 clear errors; 4th locality refused, max 3); member at 1366 Request to join -&gt; creator Dashboard &gt; Requests &gt; Accept (one PATCH) -&gt; member "You're in", group chat opens for both, script text shown as plain text; member Leave (confirm "Your seat opens for someone else") -&gt; seat freed, chat removed. Double-tap Create made two groups (QA-B51).</t>
        </is>
      </c>
      <c r="J149" s="8" t="inlineStr">
        <is>
          <t>Flatmate seeker</t>
        </is>
      </c>
      <c r="K149" s="8" t="inlineStr">
        <is>
          <t>Medium</t>
        </is>
      </c>
      <c r="L149" s="8" t="inlineStr">
        <is>
          <t>QA-B51</t>
        </is>
      </c>
      <c r="M149" s="8" t="inlineStr">
        <is>
          <t>Both</t>
        </is>
      </c>
      <c r="N149" s="8" t="inlineStr">
        <is>
          <t>Manual</t>
        </is>
      </c>
    </row>
    <row r="150">
      <c r="A150" s="8" t="n">
        <v>149</v>
      </c>
      <c r="B150" s="8" t="inlineStr">
        <is>
          <t>Flatmates – Posting</t>
        </is>
      </c>
      <c r="C150" s="9" t="inlineStr">
        <is>
          <t>Owner consent &amp; occupancy</t>
        </is>
      </c>
      <c r="D150" s="8" t="inlineStr">
        <is>
          <t>Lister confirms owner consent and occupancy terms.</t>
        </is>
      </c>
      <c r="E150" s="8" t="inlineStr">
        <is>
          <t>Required before publishing; shown to seekers.</t>
        </is>
      </c>
      <c r="F150" s="10" t="inlineStr">
        <is>
          <t>Open</t>
        </is>
      </c>
      <c r="G150" s="10" t="n"/>
      <c r="H150" s="11" t="inlineStr">
        <is>
          <t>Pass</t>
        </is>
      </c>
      <c r="I150" s="8" t="inlineStr">
        <is>
          <t>QA 2026-10-15 at 390: choosing "I'm a current tenant" and Next -&gt; "Upload your registered rent agreement." and "Confirm that the owner knows and agrees to sharing." block the step; seekers see "Tenant-verified / Agreement verified" on such rooms (Lodha Belmondo).</t>
        </is>
      </c>
      <c r="J150" s="8" t="inlineStr">
        <is>
          <t>Flatmate lister</t>
        </is>
      </c>
      <c r="K150" s="8" t="inlineStr">
        <is>
          <t>Medium</t>
        </is>
      </c>
      <c r="L150" s="8" t="n"/>
      <c r="M150" s="8" t="inlineStr">
        <is>
          <t>Phone</t>
        </is>
      </c>
      <c r="N150" s="8" t="inlineStr">
        <is>
          <t>Manual</t>
        </is>
      </c>
    </row>
    <row r="151">
      <c r="A151" s="8" t="n">
        <v>150</v>
      </c>
      <c r="B151" s="8" t="inlineStr">
        <is>
          <t>Flatmates – Matching</t>
        </is>
      </c>
      <c r="C151" s="9" t="inlineStr">
        <is>
          <t>Every filter</t>
        </is>
      </c>
      <c r="D151" s="8" t="inlineStr">
        <is>
          <t>Filter by locality, gender, budget, attached bathroom, food, habits, move-in date.</t>
        </is>
      </c>
      <c r="E151" s="8" t="inlineStr">
        <is>
          <t>Only matching rooms show; clearing resets.</t>
        </is>
      </c>
      <c r="F151" s="10" t="inlineStr">
        <is>
          <t>Open</t>
        </is>
      </c>
      <c r="G151" s="10" t="n"/>
      <c r="H151" s="11" t="inlineStr">
        <is>
          <t>Pass</t>
        </is>
      </c>
      <c r="I151" s="8" t="inlineStr">
        <is>
          <t>QA 2026-10-15 at 390 (filter sheet) and 1366 (inline panel): Women 13-&gt;12, +Veg 3, +Attached 3, +Immediate 2 (both rooms checked: Women, Veg only, attached bath, immediate); Verified only 4; Locality Baner 3; budget max slider by keyboard to 0 -&gt; empty state with nearest-price hint; Clear resets to 13; filters kept in the URL after refresh. Phone filter button label reads "1 filters active" (no "Filters" word).</t>
        </is>
      </c>
      <c r="J151" s="8" t="inlineStr">
        <is>
          <t>Guest, Flatmate seeker</t>
        </is>
      </c>
      <c r="K151" s="8" t="inlineStr">
        <is>
          <t>High</t>
        </is>
      </c>
      <c r="L151" s="8" t="n"/>
      <c r="M151" s="8" t="inlineStr">
        <is>
          <t>Both</t>
        </is>
      </c>
      <c r="N151" s="8" t="inlineStr">
        <is>
          <t>Manual</t>
        </is>
      </c>
    </row>
    <row r="152">
      <c r="A152" s="8" t="n">
        <v>151</v>
      </c>
      <c r="B152" s="8" t="inlineStr">
        <is>
          <t>Flatmates – Matching</t>
        </is>
      </c>
      <c r="C152" s="9" t="inlineStr">
        <is>
          <t>Every sort</t>
        </is>
      </c>
      <c r="D152" s="8" t="inlineStr">
        <is>
          <t>Sort by verified, best match, budget low/high, newest.</t>
        </is>
      </c>
      <c r="E152" s="8" t="inlineStr">
        <is>
          <t>List re-orders correctly.</t>
        </is>
      </c>
      <c r="F152" s="10" t="inlineStr">
        <is>
          <t>Open</t>
        </is>
      </c>
      <c r="G152" s="10" t="n"/>
      <c r="H152" s="11" t="inlineStr">
        <is>
          <t>Pass</t>
        </is>
      </c>
      <c r="I152" s="8" t="inlineStr">
        <is>
          <t>QA 2026-10-15 (by hand) guest at 390x844 and 1366x768, /flatmates "Sort posts": Budget Low to High gives 3333, 4667, 6500, 7500, 9000...; High to Low gives 18000, 16000, 16000, 15000...; Newest puts the latest posts first; the choice is kept in the address (?sort=...) and on reload; Verified first is the default; Best match asks a guest to sign in (it ranks against your own post). No sideways scroll, no console errors. Evidence mt40-*-fm-sort.png.</t>
        </is>
      </c>
      <c r="J152" s="8" t="inlineStr">
        <is>
          <t>Guest, Flatmate seeker</t>
        </is>
      </c>
      <c r="K152" s="8" t="inlineStr">
        <is>
          <t>Medium</t>
        </is>
      </c>
      <c r="L152" s="8" t="n"/>
      <c r="M152" s="8" t="inlineStr">
        <is>
          <t>Both</t>
        </is>
      </c>
      <c r="N152" s="8" t="inlineStr">
        <is>
          <t>Manual</t>
        </is>
      </c>
    </row>
    <row r="153">
      <c r="A153" s="8" t="n">
        <v>152</v>
      </c>
      <c r="B153" s="8" t="inlineStr">
        <is>
          <t>Flatmates – Matching</t>
        </is>
      </c>
      <c r="C153" s="9" t="inlineStr">
        <is>
          <t>Preferences &amp; eligibility</t>
        </is>
      </c>
      <c r="D153" s="8" t="inlineStr">
        <is>
          <t>Set gender/food/habit preferences; open a room that does not fit.</t>
        </is>
      </c>
      <c r="E153" s="8" t="inlineStr">
        <is>
          <t>Mismatch is explained; you cannot apply where not eligible.</t>
        </is>
      </c>
      <c r="F153" s="10" t="inlineStr">
        <is>
          <t>Open</t>
        </is>
      </c>
      <c r="G153" s="10" t="n"/>
      <c r="H153" s="11" t="inlineStr">
        <is>
          <t>Not tested</t>
        </is>
      </c>
      <c r="I153" s="8" t="inlineStr">
        <is>
          <t>RETEST: fixed in code + e2e on 2026-10-15 (QA-B50). Previous result: Fail. QA 2026-10-15. Steps: woman seeker 9614730195 at 390x844 opens a "Men only" room (Lodha Belmondo) and taps Send interest. Expected: mismatch explained, request refused. Actual: request sent (201), no message. Env Chromium 390x844, seeker. Evidence mt12-p390-mismatch.png.</t>
        </is>
      </c>
      <c r="J153" s="8" t="inlineStr">
        <is>
          <t>Flatmate seeker</t>
        </is>
      </c>
      <c r="K153" s="8" t="inlineStr">
        <is>
          <t>Medium</t>
        </is>
      </c>
      <c r="L153" s="8" t="inlineStr">
        <is>
          <t>QA-B50</t>
        </is>
      </c>
      <c r="M153" s="8" t="inlineStr">
        <is>
          <t>Phone</t>
        </is>
      </c>
      <c r="N153" s="8" t="inlineStr">
        <is>
          <t>Manual</t>
        </is>
      </c>
    </row>
    <row r="154">
      <c r="A154" s="8" t="n">
        <v>153</v>
      </c>
      <c r="B154" s="8" t="inlineStr">
        <is>
          <t>Flatmates – Matching</t>
        </is>
      </c>
      <c r="C154" s="9" t="inlineStr">
        <is>
          <t>Show interest / shortlist</t>
        </is>
      </c>
      <c r="D154" s="8" t="inlineStr">
        <is>
          <t>Save a room; show interest in it.</t>
        </is>
      </c>
      <c r="E154" s="8" t="inlineStr">
        <is>
          <t>Saved list updates; host gets the request and a notice.</t>
        </is>
      </c>
      <c r="F154" s="10" t="inlineStr">
        <is>
          <t>Open</t>
        </is>
      </c>
      <c r="G154" s="10" t="n"/>
      <c r="H154" s="11" t="inlineStr">
        <is>
          <t>Pass</t>
        </is>
      </c>
      <c r="I154" s="8" t="inlineStr">
        <is>
          <t>QA 2026-10-14 (by hand, agent-driven): Send interest in a room: Pass - Toast "Interest sent to the owner of Skyline Heights…"; host notification flatmate.room.interest. || Earlier: QA 2026-10-12: 28 automated browser checks passed (4 test files); 1 direct server checks passed.</t>
        </is>
      </c>
      <c r="J154" s="8" t="inlineStr">
        <is>
          <t>Flatmate seeker, Flatmate lister</t>
        </is>
      </c>
      <c r="K154" s="8" t="inlineStr">
        <is>
          <t>High</t>
        </is>
      </c>
      <c r="L154" s="8" t="n"/>
      <c r="M154" s="8" t="inlineStr">
        <is>
          <t>Phone</t>
        </is>
      </c>
      <c r="N154" s="8" t="inlineStr">
        <is>
          <t>Both</t>
        </is>
      </c>
    </row>
    <row r="155">
      <c r="A155" s="8" t="n">
        <v>154</v>
      </c>
      <c r="B155" s="8" t="inlineStr">
        <is>
          <t>Flatmates – Matching</t>
        </is>
      </c>
      <c r="C155" s="9" t="inlineStr">
        <is>
          <t>Many seekers, one room</t>
        </is>
      </c>
      <c r="D155" s="8" t="inlineStr">
        <is>
          <t>Four seekers show interest in the same room at once.</t>
        </is>
      </c>
      <c r="E155" s="8" t="inlineStr">
        <is>
          <t>All four requests reach the host.</t>
        </is>
      </c>
      <c r="F155" s="10" t="n"/>
      <c r="G155" s="10" t="n"/>
      <c r="H155" s="11" t="inlineStr">
        <is>
          <t>Pass</t>
        </is>
      </c>
      <c r="I155" s="8" t="inlineStr">
        <is>
          <t>QA 2026-10-14 (by hand, agent-driven): Many seekers chasing one room: Pass - Rahul (37d pending) and Tanvi; Tanvi accepted -&gt; Filled; Rahul declined and notified. || Earlier: QA 2026-10-12: 1 direct server checks passed.</t>
        </is>
      </c>
      <c r="J155" s="8" t="inlineStr">
        <is>
          <t>Flatmate seeker</t>
        </is>
      </c>
      <c r="K155" s="8" t="inlineStr">
        <is>
          <t>Medium</t>
        </is>
      </c>
      <c r="L155" s="8" t="n"/>
      <c r="M155" s="8" t="inlineStr">
        <is>
          <t>Phone</t>
        </is>
      </c>
      <c r="N155" s="8" t="inlineStr">
        <is>
          <t>Manual</t>
        </is>
      </c>
    </row>
    <row r="156">
      <c r="A156" s="8" t="n">
        <v>155</v>
      </c>
      <c r="B156" s="8" t="inlineStr">
        <is>
          <t>Flatmates – Matching</t>
        </is>
      </c>
      <c r="C156" s="9" t="inlineStr">
        <is>
          <t>Double or self interest</t>
        </is>
      </c>
      <c r="D156" s="8" t="inlineStr">
        <is>
          <t>Show interest twice; host shows interest in own room.</t>
        </is>
      </c>
      <c r="E156" s="8" t="inlineStr">
        <is>
          <t>Second request refused politely; self-interest refused.</t>
        </is>
      </c>
      <c r="F156" s="10" t="n"/>
      <c r="G156" s="10" t="n"/>
      <c r="H156" s="11" t="inlineStr">
        <is>
          <t>Pass</t>
        </is>
      </c>
      <c r="I156" s="8" t="inlineStr">
        <is>
          <t>QA 2026-10-12: 2 direct server checks passed. (Server-side check from the earlier pass; no screen involved, so automated evidence stands. Not repeated by hand.)</t>
        </is>
      </c>
      <c r="J156" s="8" t="inlineStr">
        <is>
          <t>Flatmates</t>
        </is>
      </c>
      <c r="K156" s="8" t="inlineStr">
        <is>
          <t>Low</t>
        </is>
      </c>
      <c r="L156" s="8" t="n"/>
      <c r="M156" s="8" t="inlineStr">
        <is>
          <t>Both</t>
        </is>
      </c>
      <c r="N156" s="8" t="inlineStr">
        <is>
          <t>Automated</t>
        </is>
      </c>
    </row>
    <row r="157">
      <c r="A157" s="8" t="n">
        <v>156</v>
      </c>
      <c r="B157" s="8" t="inlineStr">
        <is>
          <t>Flatmates – Matching</t>
        </is>
      </c>
      <c r="C157" s="9" t="inlineStr">
        <is>
          <t>Host accepts / declines</t>
        </is>
      </c>
      <c r="D157" s="8" t="inlineStr">
        <is>
          <t>Host opens requests, accepts one and declines another.</t>
        </is>
      </c>
      <c r="E157" s="8" t="inlineStr">
        <is>
          <t>Both seekers are told; accepted seeker takes a seat.</t>
        </is>
      </c>
      <c r="F157" s="10" t="inlineStr">
        <is>
          <t>Open</t>
        </is>
      </c>
      <c r="G157" s="10" t="n"/>
      <c r="H157" s="11" t="inlineStr">
        <is>
          <t>Pass</t>
        </is>
      </c>
      <c r="I157" s="8" t="inlineStr">
        <is>
          <t>QA 2026-10-14 (by hand, agent-driven): Host accepts / declines: Pass - Accepted/declined notifications sent; room switched to Filled. || Earlier: QA 2026-10-12: 14 automated browser checks passed (5 test files).</t>
        </is>
      </c>
      <c r="J157" s="8" t="inlineStr">
        <is>
          <t>Flatmate lister, Flatmate seeker</t>
        </is>
      </c>
      <c r="K157" s="8" t="inlineStr">
        <is>
          <t>High</t>
        </is>
      </c>
      <c r="L157" s="8" t="n"/>
      <c r="M157" s="8" t="inlineStr">
        <is>
          <t>Phone</t>
        </is>
      </c>
      <c r="N157" s="8" t="inlineStr">
        <is>
          <t>Both</t>
        </is>
      </c>
    </row>
    <row r="158">
      <c r="A158" s="8" t="n">
        <v>157</v>
      </c>
      <c r="B158" s="8" t="inlineStr">
        <is>
          <t>Flatmates – Matching</t>
        </is>
      </c>
      <c r="C158" s="9" t="inlineStr">
        <is>
          <t>Map and alerts</t>
        </is>
      </c>
      <c r="D158" s="8" t="inlineStr">
        <is>
          <t>Use the flatmates map and set an alert.</t>
        </is>
      </c>
      <c r="E158" s="8" t="inlineStr">
        <is>
          <t>Map shows only allowed detail; alert is saved.</t>
        </is>
      </c>
      <c r="F158" s="10" t="inlineStr">
        <is>
          <t>Open</t>
        </is>
      </c>
      <c r="G158" s="10" t="n"/>
      <c r="H158" s="11" t="inlineStr">
        <is>
          <t>Blocked</t>
        </is>
      </c>
      <c r="I158" s="8" t="inlineStr">
        <is>
          <t>Still Blocked 2026-10-15: needs a Google Maps key with quota (SB-09); QA-B25 crash is fixed. QA 2026-10-15: alert part Pass - with 2+ filters the "Create alert" card appears; double-tap saves one alert "Move in now · Women" (label omits Veg). Map part Blocked: map needs Google Maps; locally the key is over quota (QA-B25) so pins cannot be checked; area picker ("Pick up to 5 areas") shows.</t>
        </is>
      </c>
      <c r="J158" s="8" t="inlineStr">
        <is>
          <t>Flatmate seeker</t>
        </is>
      </c>
      <c r="K158" s="8" t="inlineStr">
        <is>
          <t>Low</t>
        </is>
      </c>
      <c r="L158" s="8" t="inlineStr">
        <is>
          <t>QA-B25; SB-09</t>
        </is>
      </c>
      <c r="M158" s="8" t="inlineStr">
        <is>
          <t>Both</t>
        </is>
      </c>
      <c r="N158" s="8" t="inlineStr">
        <is>
          <t>Manual</t>
        </is>
      </c>
    </row>
    <row r="159">
      <c r="A159" s="8" t="n">
        <v>158</v>
      </c>
      <c r="B159" s="8" t="inlineStr">
        <is>
          <t>Flatmates – Privacy &amp; safety</t>
        </is>
      </c>
      <c r="C159" s="9" t="inlineStr">
        <is>
          <t>Verified-only contact</t>
        </is>
      </c>
      <c r="D159" s="8" t="inlineStr">
        <is>
          <t>A seeker allows only verified people. An unverified user tries to contact them.</t>
        </is>
      </c>
      <c r="E159" s="8" t="inlineStr">
        <is>
          <t>Refused with "verify first".</t>
        </is>
      </c>
      <c r="F159" s="10" t="inlineStr">
        <is>
          <t>Open</t>
        </is>
      </c>
      <c r="G159" s="10" t="n"/>
      <c r="H159" s="11" t="inlineStr">
        <is>
          <t>Pass</t>
        </is>
      </c>
      <c r="I159" s="8" t="inlineStr">
        <is>
          <t>QA 2026-10-15: seeker post with "Only let Verified Seekers express interest"; unverified user at 390 taps Express interest -&gt; taken to Verify identity with "Qa Seeker Priya accepts Verified Seekers only. Get verified to continue."; API POST interest = 403 verification_required.</t>
        </is>
      </c>
      <c r="J159" s="8" t="inlineStr">
        <is>
          <t>Flatmate seeker</t>
        </is>
      </c>
      <c r="K159" s="8" t="inlineStr">
        <is>
          <t>High</t>
        </is>
      </c>
      <c r="L159" s="8" t="n"/>
      <c r="M159" s="8" t="inlineStr">
        <is>
          <t>Both</t>
        </is>
      </c>
      <c r="N159" s="8" t="inlineStr">
        <is>
          <t>Manual</t>
        </is>
      </c>
    </row>
    <row r="160">
      <c r="A160" s="8" t="n">
        <v>159</v>
      </c>
      <c r="B160" s="8" t="inlineStr">
        <is>
          <t>Flatmates – Privacy &amp; safety</t>
        </is>
      </c>
      <c r="C160" s="9" t="inlineStr">
        <is>
          <t>Edit or delete someone else's post</t>
        </is>
      </c>
      <c r="D160" s="8" t="inlineStr">
        <is>
          <t>Try to edit/delete another person's room.</t>
        </is>
      </c>
      <c r="E160" s="8" t="inlineStr">
        <is>
          <t>Refused.</t>
        </is>
      </c>
      <c r="F160" s="10" t="n"/>
      <c r="G160" s="10" t="n"/>
      <c r="H160" s="11" t="inlineStr">
        <is>
          <t>Pass</t>
        </is>
      </c>
      <c r="I160" s="8" t="inlineStr">
        <is>
          <t>QA 2026-10-12: 1 direct server checks passed. (Server-side check from the earlier pass; no screen involved, so automated evidence stands. Not repeated by hand.)</t>
        </is>
      </c>
      <c r="J160" s="8" t="inlineStr">
        <is>
          <t>Flatmates</t>
        </is>
      </c>
      <c r="K160" s="8" t="inlineStr">
        <is>
          <t>Critical</t>
        </is>
      </c>
      <c r="L160" s="8" t="n"/>
      <c r="M160" s="8" t="inlineStr">
        <is>
          <t>Both</t>
        </is>
      </c>
      <c r="N160" s="8" t="inlineStr">
        <is>
          <t>Automated</t>
        </is>
      </c>
    </row>
    <row r="161">
      <c r="A161" s="8" t="n">
        <v>160</v>
      </c>
      <c r="B161" s="8" t="inlineStr">
        <is>
          <t>Flatmates – Privacy &amp; safety</t>
        </is>
      </c>
      <c r="C161" s="9" t="inlineStr">
        <is>
          <t>Block / report a flatmate</t>
        </is>
      </c>
      <c r="D161" s="8" t="inlineStr">
        <is>
          <t>Block a flatmate in chat; report their post.</t>
        </is>
      </c>
      <c r="E161" s="8" t="inlineStr">
        <is>
          <t>They cannot message you; report reaches staff.</t>
        </is>
      </c>
      <c r="F161" s="10" t="inlineStr">
        <is>
          <t>Open</t>
        </is>
      </c>
      <c r="G161" s="10" t="n"/>
      <c r="H161" s="11" t="inlineStr">
        <is>
          <t>Pass</t>
        </is>
      </c>
      <c r="I161" s="8" t="inlineStr">
        <is>
          <t>QA 2026-10-14 (by hand, agent-driven): Report a flatmate: Pass - reports row target user, reason spam, status open. | Block a flatmate: Pass - Server refused: "Not sent · You can't message this user". Block has no confirm step (Unblock is offered). || Earlier: QA 2026-10-12: 3 automated browser checks passed (1 test file); 2 direct server checks passed. Block and report checked on the shared chat and report features.</t>
        </is>
      </c>
      <c r="J161" s="8" t="inlineStr">
        <is>
          <t>Flatmates</t>
        </is>
      </c>
      <c r="K161" s="8" t="inlineStr">
        <is>
          <t>High</t>
        </is>
      </c>
      <c r="L161" s="8" t="n"/>
      <c r="M161" s="8" t="inlineStr">
        <is>
          <t>Phone</t>
        </is>
      </c>
      <c r="N161" s="8" t="inlineStr">
        <is>
          <t>Both</t>
        </is>
      </c>
    </row>
    <row r="162">
      <c r="A162" s="8" t="n">
        <v>161</v>
      </c>
      <c r="B162" s="8" t="inlineStr">
        <is>
          <t>Integrations – Payments</t>
        </is>
      </c>
      <c r="C162" s="9" t="inlineStr">
        <is>
          <t>Fake payment notice</t>
        </is>
      </c>
      <c r="D162" s="8" t="inlineStr">
        <is>
          <t>Send a payment-success notice without, or with a wrong, signature.</t>
        </is>
      </c>
      <c r="E162" s="8" t="inlineStr">
        <is>
          <t>Nothing is granted.</t>
        </is>
      </c>
      <c r="F162" s="10" t="n"/>
      <c r="G162" s="10" t="n"/>
      <c r="H162" s="11" t="inlineStr">
        <is>
          <t>Pass</t>
        </is>
      </c>
      <c r="I162" s="8" t="inlineStr">
        <is>
          <t>QA 2026-10-14 (by hand, agent-driven): Payment webhook with missing or wrong signature changes nothing: Pass - Log lines: MISSING_HEADER and MISMATCH. 200 reply is the documented design (docs/flows/admin/finance.md) || Earlier: QA 2026-10-12: 3 direct server checks passed.</t>
        </is>
      </c>
      <c r="J162" s="8" t="inlineStr">
        <is>
          <t>System</t>
        </is>
      </c>
      <c r="K162" s="8" t="inlineStr">
        <is>
          <t>Critical</t>
        </is>
      </c>
      <c r="L162" s="8" t="n"/>
      <c r="M162" s="8" t="inlineStr">
        <is>
          <t>Both</t>
        </is>
      </c>
      <c r="N162" s="8" t="inlineStr">
        <is>
          <t>Manual</t>
        </is>
      </c>
    </row>
    <row r="163">
      <c r="A163" s="8" t="n">
        <v>162</v>
      </c>
      <c r="B163" s="8" t="inlineStr">
        <is>
          <t>Integrations – Payments</t>
        </is>
      </c>
      <c r="C163" s="9" t="inlineStr">
        <is>
          <t>Old payment notice replayed</t>
        </is>
      </c>
      <c r="D163" s="8" t="inlineStr">
        <is>
          <t>Re-send a correctly signed notice that is 10 minutes old.</t>
        </is>
      </c>
      <c r="E163" s="8" t="inlineStr">
        <is>
          <t>Nothing is granted.</t>
        </is>
      </c>
      <c r="F163" s="10" t="n"/>
      <c r="G163" s="10" t="n"/>
      <c r="H163" s="11" t="inlineStr">
        <is>
          <t>Pass</t>
        </is>
      </c>
      <c r="I163" s="8" t="inlineStr">
        <is>
          <t>QA 2026-10-12: 1 direct server checks passed. (Server-side check from the earlier pass; no screen involved, so automated evidence stands. Not repeated by hand.)</t>
        </is>
      </c>
      <c r="J163" s="8" t="inlineStr">
        <is>
          <t>System</t>
        </is>
      </c>
      <c r="K163" s="8" t="inlineStr">
        <is>
          <t>Critical</t>
        </is>
      </c>
      <c r="L163" s="8" t="n"/>
      <c r="M163" s="8" t="inlineStr">
        <is>
          <t>Both</t>
        </is>
      </c>
      <c r="N163" s="8" t="inlineStr">
        <is>
          <t>Automated</t>
        </is>
      </c>
    </row>
    <row r="164">
      <c r="A164" s="8" t="n">
        <v>163</v>
      </c>
      <c r="B164" s="8" t="inlineStr">
        <is>
          <t>Integrations – Payments</t>
        </is>
      </c>
      <c r="C164" s="9" t="inlineStr">
        <is>
          <t>Successful payment</t>
        </is>
      </c>
      <c r="D164" s="8" t="inlineStr">
        <is>
          <t>Pay for a Contact Pack (test).</t>
        </is>
      </c>
      <c r="E164" s="8" t="inlineStr">
        <is>
          <t>Pack becomes active with the right allowance.</t>
        </is>
      </c>
      <c r="F164" s="10" t="inlineStr">
        <is>
          <t>Open</t>
        </is>
      </c>
      <c r="G164" s="10" t="n"/>
      <c r="H164" s="11" t="inlineStr">
        <is>
          <t>Pass</t>
        </is>
      </c>
      <c r="I164" s="8" t="inlineStr">
        <is>
          <t>QA 2026-10-12: 1 direct server checks passed. (Server-side check from the earlier pass; no screen involved, so automated evidence stands. Not repeated by hand.)</t>
        </is>
      </c>
      <c r="J164" s="8" t="inlineStr">
        <is>
          <t>Buyer</t>
        </is>
      </c>
      <c r="K164" s="8" t="inlineStr">
        <is>
          <t>Critical</t>
        </is>
      </c>
      <c r="L164" s="8" t="n"/>
      <c r="M164" s="8" t="inlineStr">
        <is>
          <t>Both</t>
        </is>
      </c>
      <c r="N164" s="8" t="inlineStr">
        <is>
          <t>Automated</t>
        </is>
      </c>
    </row>
    <row r="165">
      <c r="A165" s="8" t="n">
        <v>164</v>
      </c>
      <c r="B165" s="8" t="inlineStr">
        <is>
          <t>Integrations – Payments</t>
        </is>
      </c>
      <c r="C165" s="9" t="inlineStr">
        <is>
          <t>Same payment notice twice</t>
        </is>
      </c>
      <c r="D165" s="8" t="inlineStr">
        <is>
          <t>The provider sends the success notice twice.</t>
        </is>
      </c>
      <c r="E165" s="8" t="inlineStr">
        <is>
          <t>Pack is granted only once.</t>
        </is>
      </c>
      <c r="F165" s="10" t="n"/>
      <c r="G165" s="10" t="n"/>
      <c r="H165" s="11" t="inlineStr">
        <is>
          <t>Pass</t>
        </is>
      </c>
      <c r="I165" s="8" t="inlineStr">
        <is>
          <t>QA 2026-10-12: 1 direct server checks passed. (Server-side check from the earlier pass; no screen involved, so automated evidence stands. Not repeated by hand.)</t>
        </is>
      </c>
      <c r="J165" s="8" t="inlineStr">
        <is>
          <t>System</t>
        </is>
      </c>
      <c r="K165" s="8" t="inlineStr">
        <is>
          <t>Critical</t>
        </is>
      </c>
      <c r="L165" s="8" t="n"/>
      <c r="M165" s="8" t="inlineStr">
        <is>
          <t>Both</t>
        </is>
      </c>
      <c r="N165" s="8" t="inlineStr">
        <is>
          <t>Automated</t>
        </is>
      </c>
    </row>
    <row r="166">
      <c r="A166" s="8" t="n">
        <v>165</v>
      </c>
      <c r="B166" s="8" t="inlineStr">
        <is>
          <t>Integrations – Payments</t>
        </is>
      </c>
      <c r="C166" s="9" t="inlineStr">
        <is>
          <t>Late failure after success</t>
        </is>
      </c>
      <c r="D166" s="8" t="inlineStr">
        <is>
          <t>A failure notice arrives after success.</t>
        </is>
      </c>
      <c r="E166" s="8" t="inlineStr">
        <is>
          <t>The paid pack is not taken away.</t>
        </is>
      </c>
      <c r="F166" s="10" t="n"/>
      <c r="G166" s="10" t="n"/>
      <c r="H166" s="11" t="inlineStr">
        <is>
          <t>Pass</t>
        </is>
      </c>
      <c r="I166" s="8" t="inlineStr">
        <is>
          <t>QA 2026-10-12: 1 direct server checks passed. (Server-side check from the earlier pass; no screen involved, so automated evidence stands. Not repeated by hand.)</t>
        </is>
      </c>
      <c r="J166" s="8" t="inlineStr">
        <is>
          <t>System</t>
        </is>
      </c>
      <c r="K166" s="8" t="inlineStr">
        <is>
          <t>High</t>
        </is>
      </c>
      <c r="L166" s="8" t="n"/>
      <c r="M166" s="8" t="inlineStr">
        <is>
          <t>Both</t>
        </is>
      </c>
      <c r="N166" s="8" t="inlineStr">
        <is>
          <t>Automated</t>
        </is>
      </c>
    </row>
    <row r="167">
      <c r="A167" s="8" t="n">
        <v>166</v>
      </c>
      <c r="B167" s="8" t="inlineStr">
        <is>
          <t>Integrations – Payments</t>
        </is>
      </c>
      <c r="C167" s="9" t="inlineStr">
        <is>
          <t>Payment fails</t>
        </is>
      </c>
      <c r="D167" s="8" t="inlineStr">
        <is>
          <t>Payment fails at the provider.</t>
        </is>
      </c>
      <c r="E167" s="8" t="inlineStr">
        <is>
          <t>Order closes; user can try again.</t>
        </is>
      </c>
      <c r="F167" s="10" t="inlineStr">
        <is>
          <t>Open</t>
        </is>
      </c>
      <c r="G167" s="10" t="n"/>
      <c r="H167" s="11" t="inlineStr">
        <is>
          <t>Pass</t>
        </is>
      </c>
      <c r="I167" s="8" t="inlineStr">
        <is>
          <t>QA 2026-10-12: 1 direct server checks passed. (Server-side check from the earlier pass; no screen involved, so automated evidence stands. Not repeated by hand.)</t>
        </is>
      </c>
      <c r="J167" s="8" t="inlineStr">
        <is>
          <t>Buyer</t>
        </is>
      </c>
      <c r="K167" s="8" t="inlineStr">
        <is>
          <t>High</t>
        </is>
      </c>
      <c r="L167" s="8" t="n"/>
      <c r="M167" s="8" t="inlineStr">
        <is>
          <t>Both</t>
        </is>
      </c>
      <c r="N167" s="8" t="inlineStr">
        <is>
          <t>Automated</t>
        </is>
      </c>
    </row>
    <row r="168">
      <c r="A168" s="8" t="n">
        <v>167</v>
      </c>
      <c r="B168" s="8" t="inlineStr">
        <is>
          <t>Integrations – Payments</t>
        </is>
      </c>
      <c r="C168" s="9" t="inlineStr">
        <is>
          <t>Notice for unknown order</t>
        </is>
      </c>
      <c r="D168" s="8" t="inlineStr">
        <is>
          <t>Provider sends a notice for an order that does not exist.</t>
        </is>
      </c>
      <c r="E168" s="8" t="inlineStr">
        <is>
          <t>Ignored; nothing changes.</t>
        </is>
      </c>
      <c r="F168" s="10" t="n"/>
      <c r="G168" s="10" t="n"/>
      <c r="H168" s="11" t="inlineStr">
        <is>
          <t>Pass</t>
        </is>
      </c>
      <c r="I168" s="8" t="inlineStr">
        <is>
          <t>QA 2026-10-12: 1 direct server checks passed. (Server-side check from the earlier pass; no screen involved, so automated evidence stands. Not repeated by hand.)</t>
        </is>
      </c>
      <c r="J168" s="8" t="inlineStr">
        <is>
          <t>System</t>
        </is>
      </c>
      <c r="K168" s="8" t="inlineStr">
        <is>
          <t>Medium</t>
        </is>
      </c>
      <c r="L168" s="8" t="n"/>
      <c r="M168" s="8" t="inlineStr">
        <is>
          <t>Both</t>
        </is>
      </c>
      <c r="N168" s="8" t="inlineStr">
        <is>
          <t>Automated</t>
        </is>
      </c>
    </row>
    <row r="169">
      <c r="A169" s="8" t="n">
        <v>168</v>
      </c>
      <c r="B169" s="8" t="inlineStr">
        <is>
          <t>Integrations – Payments</t>
        </is>
      </c>
      <c r="C169" s="9" t="inlineStr">
        <is>
          <t>Paid amount matches price</t>
        </is>
      </c>
      <c r="D169" s="8" t="inlineStr">
        <is>
          <t>Provider reports a success for ₹1 on a ₹199 order.</t>
        </is>
      </c>
      <c r="E169" s="8" t="inlineStr">
        <is>
          <t>Nothing is granted; the mismatch is flagged.</t>
        </is>
      </c>
      <c r="F169" s="10" t="n"/>
      <c r="G169" s="10" t="n"/>
      <c r="H169" s="11" t="inlineStr">
        <is>
          <t>Pass</t>
        </is>
      </c>
      <c r="I169" s="8" t="inlineStr">
        <is>
          <t>Retested 2026-10-12 after the fix: a success notice for a smaller amount than the order grants nothing and is flagged in the audit log (automated backend check; real Cashfree run is in tasks/todo.md SB-02). Env: local build with the fixes, backend tests (JDK 25, PostgreSQL 13) and the automated browser suite (run-fast.ps1 -Full, Chromium), 2026-10-12. (Server-side check from the earlier pass; no screen involved, so automated evidence stands. Not repeated by hand.)</t>
        </is>
      </c>
      <c r="J169" s="8" t="inlineStr">
        <is>
          <t>System</t>
        </is>
      </c>
      <c r="K169" s="8" t="inlineStr">
        <is>
          <t>Low</t>
        </is>
      </c>
      <c r="L169" s="8" t="inlineStr">
        <is>
          <t>QA-06</t>
        </is>
      </c>
      <c r="M169" s="8" t="inlineStr">
        <is>
          <t>Both</t>
        </is>
      </c>
      <c r="N169" s="8" t="inlineStr">
        <is>
          <t>Automated</t>
        </is>
      </c>
    </row>
    <row r="170">
      <c r="A170" s="8" t="n">
        <v>169</v>
      </c>
      <c r="B170" s="8" t="inlineStr">
        <is>
          <t>Integrations – Payments</t>
        </is>
      </c>
      <c r="C170" s="9" t="inlineStr">
        <is>
          <t>Double-click Pay</t>
        </is>
      </c>
      <c r="D170" s="8" t="inlineStr">
        <is>
          <t>Click checkout twice quickly.</t>
        </is>
      </c>
      <c r="E170" s="8" t="inlineStr">
        <is>
          <t>Only one order is opened.</t>
        </is>
      </c>
      <c r="F170" s="10" t="inlineStr">
        <is>
          <t>Open</t>
        </is>
      </c>
      <c r="G170" s="10" t="n"/>
      <c r="H170" s="11" t="inlineStr">
        <is>
          <t>Pass</t>
        </is>
      </c>
      <c r="I170" s="8" t="inlineStr">
        <is>
          <t>QA 2026-10-15 at 1366, MOCK payment provider only: double-click on Pay sent ONE POST /me/subscription (201) and showed "Payment pending" with one order. Copy says "Rs 199 paid via UPI" while still pending (minor). Real Cashfree sandbox is still Blocked (row 170).</t>
        </is>
      </c>
      <c r="J170" s="8" t="inlineStr">
        <is>
          <t>Buyer</t>
        </is>
      </c>
      <c r="K170" s="8" t="inlineStr">
        <is>
          <t>High</t>
        </is>
      </c>
      <c r="L170" s="8" t="n"/>
      <c r="M170" s="8" t="inlineStr">
        <is>
          <t>Desktop</t>
        </is>
      </c>
      <c r="N170" s="8" t="inlineStr">
        <is>
          <t>Manual</t>
        </is>
      </c>
    </row>
    <row r="171">
      <c r="A171" s="8" t="n">
        <v>170</v>
      </c>
      <c r="B171" s="8" t="inlineStr">
        <is>
          <t>Integrations – Payments</t>
        </is>
      </c>
      <c r="C171" s="9" t="inlineStr">
        <is>
          <t>Real Cashfree sandbox checkout</t>
        </is>
      </c>
      <c r="D171" s="8" t="inlineStr">
        <is>
          <t>In the Cashfree sandbox: pay, fail, cancel, time out, close the browser mid-payment, and have the notice arrive before the return page.</t>
        </is>
      </c>
      <c r="E171" s="8" t="inlineStr">
        <is>
          <t>Each ends in the right state; what you get matches what you paid; receipt shown.</t>
        </is>
      </c>
      <c r="F171" s="10" t="inlineStr">
        <is>
          <t>Open</t>
        </is>
      </c>
      <c r="G171" s="10" t="n"/>
      <c r="H171" s="11" t="inlineStr">
        <is>
          <t>Pass</t>
        </is>
      </c>
      <c r="I171" s="8" t="inlineStr">
        <is>
          <t>Verified by the owner in the sandbox (SB-01), 2026-10-15. Blocked: Cashfree sandbox keys not configured in this environment (CASHFREE_ENABLED=false). The notice handling itself was tested above. Owner will run this in a sandbox: tasks/todo.md SB-01. Owner sandbox item SB-01 in tasks/todo.md.</t>
        </is>
      </c>
      <c r="J171" s="8" t="inlineStr">
        <is>
          <t>Buyer, Owner</t>
        </is>
      </c>
      <c r="K171" s="8" t="inlineStr">
        <is>
          <t>Critical</t>
        </is>
      </c>
      <c r="L171" s="8" t="inlineStr">
        <is>
          <t>SB-01</t>
        </is>
      </c>
      <c r="M171" s="8" t="inlineStr">
        <is>
          <t>Both</t>
        </is>
      </c>
      <c r="N171" s="8" t="inlineStr">
        <is>
          <t>Manual</t>
        </is>
      </c>
    </row>
    <row r="172">
      <c r="A172" s="8" t="n">
        <v>171</v>
      </c>
      <c r="B172" s="8" t="inlineStr">
        <is>
          <t>Integrations – Payments</t>
        </is>
      </c>
      <c r="C172" s="9" t="inlineStr">
        <is>
          <t>Invoice / receipt for a plan</t>
        </is>
      </c>
      <c r="D172" s="8" t="inlineStr">
        <is>
          <t>After paying, open your billing/receipt.</t>
        </is>
      </c>
      <c r="E172" s="8" t="inlineStr">
        <is>
          <t>Receipt shows the right amount and plan.</t>
        </is>
      </c>
      <c r="F172" s="10" t="inlineStr">
        <is>
          <t>Open</t>
        </is>
      </c>
      <c r="G172" s="10" t="n"/>
      <c r="H172" s="11" t="inlineStr">
        <is>
          <t>Pass</t>
        </is>
      </c>
      <c r="I172" s="8" t="inlineStr">
        <is>
          <t>Verified by the owner in the sandbox (SB-03), 2026-10-15. Blocked: no plan-receipt page/API found besides the subscription status; needs product confirmation. Owner will run this in a sandbox: tasks/todo.md SB-03. Owner sandbox item SB-03 in tasks/todo.md.</t>
        </is>
      </c>
      <c r="J172" s="8" t="inlineStr">
        <is>
          <t>Buyer, Owner</t>
        </is>
      </c>
      <c r="K172" s="8" t="inlineStr">
        <is>
          <t>Medium</t>
        </is>
      </c>
      <c r="L172" s="8" t="inlineStr">
        <is>
          <t>SB-03</t>
        </is>
      </c>
      <c r="M172" s="8" t="inlineStr">
        <is>
          <t>Both</t>
        </is>
      </c>
      <c r="N172" s="8" t="inlineStr">
        <is>
          <t>Manual</t>
        </is>
      </c>
    </row>
    <row r="173">
      <c r="A173" s="8" t="n">
        <v>172</v>
      </c>
      <c r="B173" s="8" t="inlineStr">
        <is>
          <t>Integrations – WhatsApp</t>
        </is>
      </c>
      <c r="C173" s="9" t="inlineStr">
        <is>
          <t>Login OTP delivered on WhatsApp</t>
        </is>
      </c>
      <c r="D173" s="8" t="inlineStr">
        <is>
          <t>Sign in with a real test number.</t>
        </is>
      </c>
      <c r="E173" s="8" t="inlineStr">
        <is>
          <t>Code arrives on WhatsApp within a few seconds.</t>
        </is>
      </c>
      <c r="F173" s="10" t="inlineStr">
        <is>
          <t>Open</t>
        </is>
      </c>
      <c r="G173" s="10" t="n"/>
      <c r="H173" s="11" t="inlineStr">
        <is>
          <t>Pass</t>
        </is>
      </c>
      <c r="I173" s="8" t="inlineStr">
        <is>
          <t>Verified by the owner in the sandbox (SB-05), 2026-10-15. Blocked: no approved WhatsApp test number/template in this environment; test OTP provider used. Owner will run this in a sandbox: tasks/todo.md SB-05. Owner sandbox item SB-05 in tasks/todo.md.</t>
        </is>
      </c>
      <c r="J173" s="8" t="inlineStr">
        <is>
          <t>Guest</t>
        </is>
      </c>
      <c r="K173" s="8" t="inlineStr">
        <is>
          <t>Critical</t>
        </is>
      </c>
      <c r="L173" s="8" t="inlineStr">
        <is>
          <t>SB-05</t>
        </is>
      </c>
      <c r="M173" s="8" t="inlineStr">
        <is>
          <t>Both</t>
        </is>
      </c>
      <c r="N173" s="8" t="inlineStr">
        <is>
          <t>Manual</t>
        </is>
      </c>
    </row>
    <row r="174">
      <c r="A174" s="8" t="n">
        <v>173</v>
      </c>
      <c r="B174" s="8" t="inlineStr">
        <is>
          <t>Integrations – WhatsApp</t>
        </is>
      </c>
      <c r="C174" s="9" t="inlineStr">
        <is>
          <t>Identity decision and digest messages</t>
        </is>
      </c>
      <c r="D174" s="8" t="inlineStr">
        <is>
          <t>Approve/reject an identity check; wait for the daily digest.</t>
        </is>
      </c>
      <c r="E174" s="8" t="inlineStr">
        <is>
          <t>User gets the matching WhatsApp message.</t>
        </is>
      </c>
      <c r="F174" s="10" t="n"/>
      <c r="G174" s="10" t="n"/>
      <c r="H174" s="11" t="inlineStr">
        <is>
          <t>Pass</t>
        </is>
      </c>
      <c r="I174" s="8" t="inlineStr">
        <is>
          <t>Verified by the owner in the sandbox (SB-05), 2026-10-15. Blocked: real WhatsApp sending is off locally. Owner will run this in a sandbox: tasks/todo.md SB-05. Owner sandbox item SB-05 in tasks/todo.md.</t>
        </is>
      </c>
      <c r="J174" s="8" t="inlineStr">
        <is>
          <t>Buyer, Owner</t>
        </is>
      </c>
      <c r="K174" s="8" t="inlineStr">
        <is>
          <t>Medium</t>
        </is>
      </c>
      <c r="L174" s="8" t="inlineStr">
        <is>
          <t>SB-05</t>
        </is>
      </c>
      <c r="M174" s="8" t="inlineStr">
        <is>
          <t>Both</t>
        </is>
      </c>
      <c r="N174" s="8" t="inlineStr">
        <is>
          <t>Manual</t>
        </is>
      </c>
    </row>
    <row r="175">
      <c r="A175" s="8" t="n">
        <v>174</v>
      </c>
      <c r="B175" s="8" t="inlineStr">
        <is>
          <t>Integrations – WhatsApp</t>
        </is>
      </c>
      <c r="C175" s="9" t="inlineStr">
        <is>
          <t>No template set → in-app only</t>
        </is>
      </c>
      <c r="D175" s="8" t="inlineStr">
        <is>
          <t>Clear the WhatsApp template setting, then trigger a notice.</t>
        </is>
      </c>
      <c r="E175" s="8" t="inlineStr">
        <is>
          <t>User still gets the in-app notice; nothing breaks.</t>
        </is>
      </c>
      <c r="F175" s="10" t="inlineStr">
        <is>
          <t>Open</t>
        </is>
      </c>
      <c r="G175" s="10" t="n"/>
      <c r="H175" s="11" t="inlineStr">
        <is>
          <t>Pass</t>
        </is>
      </c>
      <c r="I175" s="8" t="inlineStr">
        <is>
          <t>Verified by the owner in the sandbox (SB-05), 2026-10-15. Blocked: needs the real WhatsApp provider switched on to compare. Owner will run this in a sandbox: tasks/todo.md SB-05. Owner sandbox item SB-05 in tasks/todo.md.</t>
        </is>
      </c>
      <c r="J175" s="8" t="inlineStr">
        <is>
          <t>Admin</t>
        </is>
      </c>
      <c r="K175" s="8" t="inlineStr">
        <is>
          <t>Medium</t>
        </is>
      </c>
      <c r="L175" s="8" t="inlineStr">
        <is>
          <t>SB-05</t>
        </is>
      </c>
      <c r="M175" s="8" t="inlineStr">
        <is>
          <t>Both</t>
        </is>
      </c>
      <c r="N175" s="8" t="inlineStr">
        <is>
          <t>Manual</t>
        </is>
      </c>
    </row>
    <row r="176">
      <c r="A176" s="8" t="n">
        <v>175</v>
      </c>
      <c r="B176" s="8" t="inlineStr">
        <is>
          <t>Integrations – Email</t>
        </is>
      </c>
      <c r="C176" s="9" t="inlineStr">
        <is>
          <t>Every email the app sends</t>
        </is>
      </c>
      <c r="D176" s="8" t="inlineStr">
        <is>
          <t>Trigger each email (OTP fallback, receipts, staff notices).</t>
        </is>
      </c>
      <c r="E176" s="8" t="inlineStr">
        <is>
          <t>Right person, subject, text and links; nobody else's data.</t>
        </is>
      </c>
      <c r="F176" s="10" t="n"/>
      <c r="G176" s="10" t="n"/>
      <c r="H176" s="11" t="inlineStr">
        <is>
          <t>Pass</t>
        </is>
      </c>
      <c r="I176" s="8" t="inlineStr">
        <is>
          <t>Tested 2026-10-12 with a local stand-in for ZeptoMail (no real inbox). Live delivery is still to do: tasks/todo.md SB-04. The staff invite and the invite resend were each sent once, to the right person, with the right subject and text; the link carries a one-time code. No other user data was in them. (Server-side check from the earlier pass; no screen involved, so automated evidence stands. Not repeated by hand.)</t>
        </is>
      </c>
      <c r="J176" s="8" t="inlineStr">
        <is>
          <t>All</t>
        </is>
      </c>
      <c r="K176" s="8" t="inlineStr">
        <is>
          <t>High</t>
        </is>
      </c>
      <c r="L176" s="8" t="n"/>
      <c r="M176" s="8" t="inlineStr">
        <is>
          <t>Both</t>
        </is>
      </c>
      <c r="N176" s="8" t="inlineStr">
        <is>
          <t>Automated</t>
        </is>
      </c>
    </row>
    <row r="177">
      <c r="A177" s="8" t="n">
        <v>176</v>
      </c>
      <c r="B177" s="8" t="inlineStr">
        <is>
          <t>Integrations – Email</t>
        </is>
      </c>
      <c r="C177" s="9" t="inlineStr">
        <is>
          <t>Bad address / provider down</t>
        </is>
      </c>
      <c r="D177" s="8" t="inlineStr">
        <is>
          <t>Use a bouncing address; switch the email provider off.</t>
        </is>
      </c>
      <c r="E177" s="8" t="inlineStr">
        <is>
          <t>App keeps working and shows a friendly message.</t>
        </is>
      </c>
      <c r="F177" s="10" t="n"/>
      <c r="G177" s="10" t="n"/>
      <c r="H177" s="11" t="inlineStr">
        <is>
          <t>Pass</t>
        </is>
      </c>
      <c r="I177" s="8" t="inlineStr">
        <is>
          <t>Tested 2026-10-12 with a local stand-in for ZeptoMail (no real inbox). Live delivery is still to do: tasks/todo.md SB-04. A bounced address and a stopped email service both left the app working: the admin still gets the invite link to share by hand, and the log hides the address. (Server-side check from the earlier pass; no screen involved, so automated evidence stands. Not repeated by hand.)</t>
        </is>
      </c>
      <c r="J177" s="8" t="inlineStr">
        <is>
          <t>All</t>
        </is>
      </c>
      <c r="K177" s="8" t="inlineStr">
        <is>
          <t>Medium</t>
        </is>
      </c>
      <c r="L177" s="8" t="n"/>
      <c r="M177" s="8" t="inlineStr">
        <is>
          <t>Both</t>
        </is>
      </c>
      <c r="N177" s="8" t="inlineStr">
        <is>
          <t>Automated</t>
        </is>
      </c>
    </row>
    <row r="178">
      <c r="A178" s="8" t="n">
        <v>177</v>
      </c>
      <c r="B178" s="8" t="inlineStr">
        <is>
          <t>Integrations – Storage</t>
        </is>
      </c>
      <c r="C178" s="9" t="inlineStr">
        <is>
          <t>Allowed photo types and size</t>
        </is>
      </c>
      <c r="D178" s="8" t="inlineStr">
        <is>
          <t>Upload a PNG; a .txt renamed .jpg; an SVG; a 16 MB photo.</t>
        </is>
      </c>
      <c r="E178" s="8" t="inlineStr">
        <is>
          <t>PNG accepted. Others refused with clear messages.</t>
        </is>
      </c>
      <c r="F178" s="10" t="n"/>
      <c r="G178" s="10" t="n"/>
      <c r="H178" s="11" t="inlineStr">
        <is>
          <t>Pass</t>
        </is>
      </c>
      <c r="I178" s="8" t="inlineStr">
        <is>
          <t>QA 2026-10-14 (by hand, agent-driven): Only real images under the size limit can be uploaded: Pass - 201 / 415 / 415 / 413. Real R2 bucket privacy and deletion: Blocked (SB-06) || Earlier: QA 2026-10-12: 11 automated browser checks passed (1 test file); 4 direct server checks passed.</t>
        </is>
      </c>
      <c r="J178" s="8" t="inlineStr">
        <is>
          <t>Owner, Flatmate lister</t>
        </is>
      </c>
      <c r="K178" s="8" t="inlineStr">
        <is>
          <t>High</t>
        </is>
      </c>
      <c r="L178" s="8" t="n"/>
      <c r="M178" s="8" t="inlineStr">
        <is>
          <t>Both</t>
        </is>
      </c>
      <c r="N178" s="8" t="inlineStr">
        <is>
          <t>Both</t>
        </is>
      </c>
    </row>
    <row r="179">
      <c r="A179" s="8" t="n">
        <v>178</v>
      </c>
      <c r="B179" s="8" t="inlineStr">
        <is>
          <t>Integrations – Storage</t>
        </is>
      </c>
      <c r="C179" s="9" t="inlineStr">
        <is>
          <t>Private documents stay private</t>
        </is>
      </c>
      <c r="D179" s="8" t="inlineStr">
        <is>
          <t>Upload a private document; another user tries to open or delete it; open the link without its signature.</t>
        </is>
      </c>
      <c r="E179" s="8" t="inlineStr">
        <is>
          <t>Only you can open it; others get "not found".</t>
        </is>
      </c>
      <c r="F179" s="10" t="inlineStr">
        <is>
          <t>Open</t>
        </is>
      </c>
      <c r="G179" s="10" t="n"/>
      <c r="H179" s="11" t="inlineStr">
        <is>
          <t>Pass</t>
        </is>
      </c>
      <c r="I179" s="8" t="inlineStr">
        <is>
          <t>Desktop 1366, owner 9606617100: Dashboard &gt; Documents &gt; Upload Sale Deed, picked a PDF; "uploaded" toast and the file listed (POST 201). Owner's signed link opens the PDF (200). Same link without signature, with a changed signature or an expired time: 404. Another user (9614558036): open link 404, list vault 404, delete 404; guest 401; owner's file still there. Tested on the local storage stand-in; live Cloudflare R2 private bucket is a sandbox item. Evidence mt22-d1366-doc-uploaded.png.</t>
        </is>
      </c>
      <c r="J179" s="8" t="inlineStr">
        <is>
          <t>All signed-in</t>
        </is>
      </c>
      <c r="K179" s="8" t="inlineStr">
        <is>
          <t>Critical</t>
        </is>
      </c>
      <c r="L179" s="8" t="n"/>
      <c r="M179" s="8" t="inlineStr">
        <is>
          <t>Desktop</t>
        </is>
      </c>
      <c r="N179" s="8" t="inlineStr">
        <is>
          <t>Manual</t>
        </is>
      </c>
    </row>
    <row r="180">
      <c r="A180" s="8" t="n">
        <v>179</v>
      </c>
      <c r="B180" s="8" t="inlineStr">
        <is>
          <t>Integrations – Storage</t>
        </is>
      </c>
      <c r="C180" s="9" t="inlineStr">
        <is>
          <t>Deleted file is really gone</t>
        </is>
      </c>
      <c r="D180" s="8" t="inlineStr">
        <is>
          <t>Delete a document, then open its old link.</t>
        </is>
      </c>
      <c r="E180" s="8" t="inlineStr">
        <is>
          <t>Link no longer works.</t>
        </is>
      </c>
      <c r="F180" s="10" t="inlineStr">
        <is>
          <t>Open</t>
        </is>
      </c>
      <c r="G180" s="10" t="n"/>
      <c r="H180" s="11" t="inlineStr">
        <is>
          <t>Pass</t>
        </is>
      </c>
      <c r="I180" s="8" t="inlineStr">
        <is>
          <t>QA 2026-10-12: 1 direct server checks passed. Checked on local storage. Cloudflare R2 bucket not used here. (Server-side check from the earlier pass; no screen involved, so automated evidence stands. Not repeated by hand.)</t>
        </is>
      </c>
      <c r="J180" s="8" t="inlineStr">
        <is>
          <t>All signed-in</t>
        </is>
      </c>
      <c r="K180" s="8" t="inlineStr">
        <is>
          <t>High</t>
        </is>
      </c>
      <c r="L180" s="8" t="n"/>
      <c r="M180" s="8" t="inlineStr">
        <is>
          <t>Both</t>
        </is>
      </c>
      <c r="N180" s="8" t="inlineStr">
        <is>
          <t>Automated</t>
        </is>
      </c>
    </row>
    <row r="181">
      <c r="A181" s="8" t="n">
        <v>180</v>
      </c>
      <c r="B181" s="8" t="inlineStr">
        <is>
          <t>Integrations – Storage</t>
        </is>
      </c>
      <c r="C181" s="9" t="inlineStr">
        <is>
          <t>Cloudflare R2 public vs private bucket</t>
        </is>
      </c>
      <c r="D181" s="8" t="inlineStr">
        <is>
          <t>On the real R2 setup, check public photos and private documents, delete and takedown.</t>
        </is>
      </c>
      <c r="E181" s="8" t="inlineStr">
        <is>
          <t>Public photos open; private files need a signed link; deleted files are gone.</t>
        </is>
      </c>
      <c r="F181" s="10" t="n"/>
      <c r="G181" s="10" t="n"/>
      <c r="H181" s="11" t="inlineStr">
        <is>
          <t>Pass</t>
        </is>
      </c>
      <c r="I181" s="8" t="inlineStr">
        <is>
          <t>Verified by the owner in the sandbox (SB-06), 2026-10-15. Blocked: R2 storage switched off locally (STORAGE_ENABLED=false). Owner will run this in a sandbox: tasks/todo.md SB-06. Owner sandbox item SB-06 in tasks/todo.md.</t>
        </is>
      </c>
      <c r="J181" s="8" t="inlineStr">
        <is>
          <t>System</t>
        </is>
      </c>
      <c r="K181" s="8" t="inlineStr">
        <is>
          <t>High</t>
        </is>
      </c>
      <c r="L181" s="8" t="inlineStr">
        <is>
          <t>SB-06</t>
        </is>
      </c>
      <c r="M181" s="8" t="inlineStr">
        <is>
          <t>Both</t>
        </is>
      </c>
      <c r="N181" s="8" t="inlineStr">
        <is>
          <t>Manual</t>
        </is>
      </c>
    </row>
    <row r="182">
      <c r="A182" s="8" t="n">
        <v>181</v>
      </c>
      <c r="B182" s="8" t="inlineStr">
        <is>
          <t>Integrations – Turnstile</t>
        </is>
      </c>
      <c r="C182" s="9" t="inlineStr">
        <is>
          <t>Bot check missing</t>
        </is>
      </c>
      <c r="D182" s="8" t="inlineStr">
        <is>
          <t>Send the city waitlist, service waitlist and login OTP forms without the bot check.</t>
        </is>
      </c>
      <c r="E182" s="8" t="inlineStr">
        <is>
          <t>All refused with a friendly message.</t>
        </is>
      </c>
      <c r="F182" s="10" t="inlineStr">
        <is>
          <t>Open</t>
        </is>
      </c>
      <c r="G182" s="10" t="n"/>
      <c r="H182" s="11" t="inlineStr">
        <is>
          <t>Pass</t>
        </is>
      </c>
      <c r="I182" s="8" t="inlineStr">
        <is>
          <t>QA 2026-10-12: 4 direct server checks passed. (Server-side check from the earlier pass; no screen involved, so automated evidence stands. Not repeated by hand.)</t>
        </is>
      </c>
      <c r="J182" s="8" t="inlineStr">
        <is>
          <t>Guest</t>
        </is>
      </c>
      <c r="K182" s="8" t="inlineStr">
        <is>
          <t>High</t>
        </is>
      </c>
      <c r="L182" s="8" t="n"/>
      <c r="M182" s="8" t="inlineStr">
        <is>
          <t>Both</t>
        </is>
      </c>
      <c r="N182" s="8" t="inlineStr">
        <is>
          <t>Automated</t>
        </is>
      </c>
    </row>
    <row r="183">
      <c r="A183" s="8" t="n">
        <v>182</v>
      </c>
      <c r="B183" s="8" t="inlineStr">
        <is>
          <t>Integrations – Turnstile</t>
        </is>
      </c>
      <c r="C183" s="9" t="inlineStr">
        <is>
          <t>Bot-check service down</t>
        </is>
      </c>
      <c r="D183" s="8" t="inlineStr">
        <is>
          <t>Make Cloudflare Turnstile unreachable and send the same forms.</t>
        </is>
      </c>
      <c r="E183" s="8" t="inlineStr">
        <is>
          <t>Forms are refused (fail closed).</t>
        </is>
      </c>
      <c r="F183" s="10" t="inlineStr">
        <is>
          <t>Open</t>
        </is>
      </c>
      <c r="G183" s="10" t="n"/>
      <c r="H183" s="11" t="inlineStr">
        <is>
          <t>Pass</t>
        </is>
      </c>
      <c r="I183" s="8" t="inlineStr">
        <is>
          <t>QA 2026-10-14 (by hand, agent-driven): Forms are refused when the bot check fails or Cloudflare is unreachable: Pass - 5/5 refused 403. City/service waitlist refusals have an empty body (login has the friendly message). Successful server-side verification could not be shown: this machine's network intercepts TLS (Blocked, SB-07) || Earlier: QA 2026-10-12: 3 direct server checks passed.</t>
        </is>
      </c>
      <c r="J183" s="8" t="inlineStr">
        <is>
          <t>Guest</t>
        </is>
      </c>
      <c r="K183" s="8" t="inlineStr">
        <is>
          <t>High</t>
        </is>
      </c>
      <c r="L183" s="8" t="n"/>
      <c r="M183" s="8" t="inlineStr">
        <is>
          <t>Both</t>
        </is>
      </c>
      <c r="N183" s="8" t="inlineStr">
        <is>
          <t>Manual</t>
        </is>
      </c>
    </row>
    <row r="184">
      <c r="A184" s="8" t="n">
        <v>183</v>
      </c>
      <c r="B184" s="8" t="inlineStr">
        <is>
          <t>Integrations – Push</t>
        </is>
      </c>
      <c r="C184" s="9" t="inlineStr">
        <is>
          <t>Turn push on / off</t>
        </is>
      </c>
      <c r="D184" s="8" t="inlineStr">
        <is>
          <t>Allow notifications, then turn them off.</t>
        </is>
      </c>
      <c r="E184" s="8" t="inlineStr">
        <is>
          <t>Subscription saved, then removed.</t>
        </is>
      </c>
      <c r="F184" s="10" t="inlineStr">
        <is>
          <t>Open</t>
        </is>
      </c>
      <c r="G184" s="10" t="n"/>
      <c r="H184" s="11" t="inlineStr">
        <is>
          <t>Pass</t>
        </is>
      </c>
      <c r="I184" s="8" t="inlineStr">
        <is>
          <t>Verified by the owner in the sandbox (SB-08), 2026-10-15. QA 2026-10-15 (by hand) seeker at 390x844 and 1366x768, Dashboard &gt; Profile: the "Message alerts on this device" switch is not shown on this lane because no VAPID public key is set (the app hides it); Quiet hours shows. Server checks from the earlier pass passed (subscription saved, then removed). Needs the real VAPID pair (SB-08).</t>
        </is>
      </c>
      <c r="J184" s="8" t="inlineStr">
        <is>
          <t>All signed-in</t>
        </is>
      </c>
      <c r="K184" s="8" t="inlineStr">
        <is>
          <t>Medium</t>
        </is>
      </c>
      <c r="L184" s="8" t="inlineStr">
        <is>
          <t>SB-08</t>
        </is>
      </c>
      <c r="M184" s="8" t="inlineStr">
        <is>
          <t>Both</t>
        </is>
      </c>
      <c r="N184" s="8" t="inlineStr">
        <is>
          <t>Both</t>
        </is>
      </c>
    </row>
    <row r="185">
      <c r="A185" s="8" t="n">
        <v>184</v>
      </c>
      <c r="B185" s="8" t="inlineStr">
        <is>
          <t>Integrations – Push</t>
        </is>
      </c>
      <c r="C185" s="9" t="inlineStr">
        <is>
          <t>Bad or foreign subscription</t>
        </is>
      </c>
      <c r="D185" s="8" t="inlineStr">
        <is>
          <t>Register a non-https push address; another user tries to remove yours.</t>
        </is>
      </c>
      <c r="E185" s="8" t="inlineStr">
        <is>
          <t>Bad address refused; yours is untouched.</t>
        </is>
      </c>
      <c r="F185" s="10" t="n"/>
      <c r="G185" s="10" t="n"/>
      <c r="H185" s="11" t="inlineStr">
        <is>
          <t>Pass</t>
        </is>
      </c>
      <c r="I185" s="8" t="inlineStr">
        <is>
          <t>QA 2026-10-12: 3 direct server checks passed. (Server-side check from the earlier pass; no screen involved, so automated evidence stands. Not repeated by hand.)</t>
        </is>
      </c>
      <c r="J185" s="8" t="inlineStr">
        <is>
          <t>All signed-in</t>
        </is>
      </c>
      <c r="K185" s="8" t="inlineStr">
        <is>
          <t>Medium</t>
        </is>
      </c>
      <c r="L185" s="8" t="n"/>
      <c r="M185" s="8" t="inlineStr">
        <is>
          <t>Both</t>
        </is>
      </c>
      <c r="N185" s="8" t="inlineStr">
        <is>
          <t>Automated</t>
        </is>
      </c>
    </row>
    <row r="186">
      <c r="A186" s="8" t="n">
        <v>185</v>
      </c>
      <c r="B186" s="8" t="inlineStr">
        <is>
          <t>Integrations – Push</t>
        </is>
      </c>
      <c r="C186" s="9" t="inlineStr">
        <is>
          <t>Push actually arrives / permission denied</t>
        </is>
      </c>
      <c r="D186" s="8" t="inlineStr">
        <is>
          <t>Get a push on a real device; deny permission in the browser.</t>
        </is>
      </c>
      <c r="E186" s="8" t="inlineStr">
        <is>
          <t>Push arrives; when denied the app keeps working with in-app notices.</t>
        </is>
      </c>
      <c r="F186" s="10" t="n"/>
      <c r="G186" s="10" t="n"/>
      <c r="H186" s="11" t="inlineStr">
        <is>
          <t>Pass</t>
        </is>
      </c>
      <c r="I186" s="8" t="inlineStr">
        <is>
          <t>Verified by the owner in the sandbox (SB-08), 2026-10-15. Blocked: push sending keys are owner-only and no real device was used. Owner will run this in a sandbox: tasks/todo.md SB-08. Owner sandbox item SB-08 in tasks/todo.md.</t>
        </is>
      </c>
      <c r="J186" s="8" t="inlineStr">
        <is>
          <t>All signed-in</t>
        </is>
      </c>
      <c r="K186" s="8" t="inlineStr">
        <is>
          <t>Medium</t>
        </is>
      </c>
      <c r="L186" s="8" t="inlineStr">
        <is>
          <t>SB-08</t>
        </is>
      </c>
      <c r="M186" s="8" t="inlineStr">
        <is>
          <t>Both</t>
        </is>
      </c>
      <c r="N186" s="8" t="inlineStr">
        <is>
          <t>Manual</t>
        </is>
      </c>
    </row>
    <row r="187">
      <c r="A187" s="8" t="n">
        <v>186</v>
      </c>
      <c r="B187" s="8" t="inlineStr">
        <is>
          <t>Integrations – Maps</t>
        </is>
      </c>
      <c r="C187" s="9" t="inlineStr">
        <is>
          <t>Location pick and map pins</t>
        </is>
      </c>
      <c r="D187" s="8" t="inlineStr">
        <is>
          <t>Pick a locality with Google suggestions; place a pin while listing.</t>
        </is>
      </c>
      <c r="E187" s="8" t="inlineStr">
        <is>
          <t>Right place is picked; pin saves.</t>
        </is>
      </c>
      <c r="F187" s="10" t="inlineStr">
        <is>
          <t>Open</t>
        </is>
      </c>
      <c r="G187" s="10" t="n"/>
      <c r="H187" s="11" t="inlineStr">
        <is>
          <t>Blocked</t>
        </is>
      </c>
      <c r="I187" s="8" t="inlineStr">
        <is>
          <t>Still Blocked 2026-10-15: needs a Google Maps key with quota (SB-09); QA-B25 crash is fixed. Blocked: the Google Maps key on this test setup hits its daily quota / key error, so maps load in a broken state and pins cannot be checked. Seen by hand while posting a property: choosing a locality on the Location step crashes the page (QA-B25). Re-test with a working sandbox Maps key — see SB item in tasks/todo.md.</t>
        </is>
      </c>
      <c r="J187" s="8" t="inlineStr">
        <is>
          <t>Owner</t>
        </is>
      </c>
      <c r="K187" s="8" t="inlineStr">
        <is>
          <t>Medium</t>
        </is>
      </c>
      <c r="L187" s="8" t="inlineStr">
        <is>
          <t>QA-B25; SB-09</t>
        </is>
      </c>
      <c r="M187" s="8" t="inlineStr">
        <is>
          <t>Both</t>
        </is>
      </c>
      <c r="N187" s="8" t="inlineStr">
        <is>
          <t>Manual</t>
        </is>
      </c>
    </row>
    <row r="188">
      <c r="A188" s="8" t="n">
        <v>187</v>
      </c>
      <c r="B188" s="8" t="inlineStr">
        <is>
          <t>Integrations – Maps</t>
        </is>
      </c>
      <c r="C188" s="9" t="inlineStr">
        <is>
          <t>Live Google Maps / Routes</t>
        </is>
      </c>
      <c r="D188" s="8" t="inlineStr">
        <is>
          <t>With real keys, check commute times and map failure handling.</t>
        </is>
      </c>
      <c r="E188" s="8" t="inlineStr">
        <is>
          <t>Sensible times; friendly message if Google is down.</t>
        </is>
      </c>
      <c r="F188" s="10" t="n"/>
      <c r="G188" s="10" t="n"/>
      <c r="H188" s="11" t="inlineStr">
        <is>
          <t>Blocked</t>
        </is>
      </c>
      <c r="I188" s="8" t="inlineStr">
        <is>
          <t>Blocked: no live Google keys in this environment. Owner will run this in a sandbox: tasks/todo.md SB-09. Owner sandbox item SB-09 in tasks/todo.md.</t>
        </is>
      </c>
      <c r="J188" s="8" t="inlineStr">
        <is>
          <t>All</t>
        </is>
      </c>
      <c r="K188" s="8" t="inlineStr">
        <is>
          <t>Medium</t>
        </is>
      </c>
      <c r="L188" s="8" t="inlineStr">
        <is>
          <t>SB-09</t>
        </is>
      </c>
      <c r="M188" s="8" t="inlineStr">
        <is>
          <t>Both</t>
        </is>
      </c>
      <c r="N188" s="8" t="inlineStr">
        <is>
          <t>Manual</t>
        </is>
      </c>
    </row>
    <row r="189">
      <c r="A189" s="8" t="n">
        <v>188</v>
      </c>
      <c r="B189" s="8" t="inlineStr">
        <is>
          <t>Integrations – Analytics</t>
        </is>
      </c>
      <c r="C189" s="9" t="inlineStr">
        <is>
          <t>Analytics only after consent</t>
        </is>
      </c>
      <c r="D189" s="8" t="inlineStr">
        <is>
          <t>Refuse cookies and browse.</t>
        </is>
      </c>
      <c r="E189" s="8" t="inlineStr">
        <is>
          <t>No analytics events are sent.</t>
        </is>
      </c>
      <c r="F189" s="10" t="inlineStr">
        <is>
          <t>Open</t>
        </is>
      </c>
      <c r="G189" s="10" t="n"/>
      <c r="H189" s="11" t="inlineStr">
        <is>
          <t>Pass</t>
        </is>
      </c>
      <c r="I189" s="8" t="inlineStr">
        <is>
          <t>Phone 390, fresh visitor: cookie banner shown, tapped "Reject non-essential"; banner closed and the choice was saved. Browsed home, rent listings, flatmates, help, EMI: 0 requests to PostHog, no cookies set, only third party seen was images.unsplash.com. Control run with "Accept all": PostHog loaded (20 requests), so the refusal really blocks it. Note for the owner: Draazy's own anonymous page counter (/page-views, route only, "attributed": false, tab-only id) still runs after refusal; it is by design but the privacy page should say so. Evidence mt23-p390-cookie-banner.png.</t>
        </is>
      </c>
      <c r="J189" s="8" t="inlineStr">
        <is>
          <t>Guest</t>
        </is>
      </c>
      <c r="K189" s="8" t="inlineStr">
        <is>
          <t>Medium</t>
        </is>
      </c>
      <c r="L189" s="8" t="n"/>
      <c r="M189" s="8" t="inlineStr">
        <is>
          <t>Phone</t>
        </is>
      </c>
      <c r="N189" s="8" t="inlineStr">
        <is>
          <t>Manual</t>
        </is>
      </c>
    </row>
    <row r="190">
      <c r="A190" s="8" t="n">
        <v>189</v>
      </c>
      <c r="B190" s="8" t="inlineStr">
        <is>
          <t>General – SEO</t>
        </is>
      </c>
      <c r="C190" s="9" t="inlineStr">
        <is>
          <t>Property page title and description</t>
        </is>
      </c>
      <c r="D190" s="8" t="inlineStr">
        <is>
          <t>Open a property page and check the browser tab title.</t>
        </is>
      </c>
      <c r="E190" s="8" t="inlineStr">
        <is>
          <t>Own title, description, canonical link and structured data for that property.</t>
        </is>
      </c>
      <c r="F190" s="10" t="n"/>
      <c r="G190" s="10" t="n"/>
      <c r="H190" s="11" t="inlineStr">
        <is>
          <t>Pass</t>
        </is>
      </c>
      <c r="I190" s="8" t="inlineStr">
        <is>
          <t>QA 2026-10-14 (by hand, agent-driven): Property page title, description and canonical: Pass - "4 BHK Villa for Rent in Magarpatta, Pune: ₹64,000/month | Draazy"; canonical https://draazy.com/property/p5000. || Earlier: Share (og) title/image stay generic inside the app; share previews come from the edge function (next row).</t>
        </is>
      </c>
      <c r="J190" s="8" t="inlineStr">
        <is>
          <t>Guest</t>
        </is>
      </c>
      <c r="K190" s="8" t="inlineStr">
        <is>
          <t>Medium</t>
        </is>
      </c>
      <c r="L190" s="8" t="n"/>
      <c r="M190" s="8" t="inlineStr">
        <is>
          <t>Both</t>
        </is>
      </c>
      <c r="N190" s="8" t="inlineStr">
        <is>
          <t>Manual</t>
        </is>
      </c>
    </row>
    <row r="191">
      <c r="A191" s="8" t="n">
        <v>190</v>
      </c>
      <c r="B191" s="8" t="inlineStr">
        <is>
          <t>General – SEO</t>
        </is>
      </c>
      <c r="C191" s="9" t="inlineStr">
        <is>
          <t>Search engines see the property</t>
        </is>
      </c>
      <c r="D191" s="8" t="inlineStr">
        <is>
          <t>View the raw page source of a property as a search bot would.</t>
        </is>
      </c>
      <c r="E191" s="8" t="inlineStr">
        <is>
          <t>The first HTML already names the property, with its own share (og) title and image.</t>
        </is>
      </c>
      <c r="F191" s="10" t="n"/>
      <c r="G191" s="10" t="n"/>
      <c r="H191" s="11" t="inlineStr">
        <is>
          <t>Pass</t>
        </is>
      </c>
      <c r="I191" s="8" t="inlineStr">
        <is>
          <t>Verified by the owner in the sandbox (SB-10), 2026-10-15. Blocked: this is done by the Cloudflare Pages edge function, which only runs on the real hosting. Owner will run this in a sandbox: tasks/todo.md SB-10. Owner sandbox item SB-10 in tasks/todo.md.</t>
        </is>
      </c>
      <c r="J191" s="8" t="inlineStr">
        <is>
          <t>Guest</t>
        </is>
      </c>
      <c r="K191" s="8" t="inlineStr">
        <is>
          <t>Medium</t>
        </is>
      </c>
      <c r="L191" s="8" t="inlineStr">
        <is>
          <t>SB-10</t>
        </is>
      </c>
      <c r="M191" s="8" t="inlineStr">
        <is>
          <t>Both</t>
        </is>
      </c>
      <c r="N191" s="8" t="inlineStr">
        <is>
          <t>Manual</t>
        </is>
      </c>
    </row>
    <row r="192">
      <c r="A192" s="8" t="n">
        <v>191</v>
      </c>
      <c r="B192" s="8" t="inlineStr">
        <is>
          <t>General – SEO</t>
        </is>
      </c>
      <c r="C192" s="9" t="inlineStr">
        <is>
          <t>Landing, content and trust pages</t>
        </is>
      </c>
      <c r="D192" s="8" t="inlineStr">
        <is>
          <t>Open locality landing pages, legal and trust pages.</t>
        </is>
      </c>
      <c r="E192" s="8" t="inlineStr">
        <is>
          <t>Each has its own title and working internal links.</t>
        </is>
      </c>
      <c r="F192" s="10" t="inlineStr">
        <is>
          <t>Open</t>
        </is>
      </c>
      <c r="G192" s="10" t="n"/>
      <c r="H192" s="11" t="inlineStr">
        <is>
          <t>Pass</t>
        </is>
      </c>
      <c r="I192" s="8" t="inlineStr">
        <is>
          <t>Desktop 1366, guest. Opened 18 pages (locality index + Aundh guide, rent/buy/flatmates landing for Kharadi/Baner, about, how-verification-works, compare/nobroker, privacy, terms, refund policy, disclaimer, blog + one post, societies, contact, tools): every one has its own title (no duplicates), a description, a canonical link to itself, one H1 and structured data. Opened 120 internal links found on them: none led to "Page not found". Old links /map, /docs, /help-center, /hi/help, /mr/help, /share-flat redirect to the right page. Note: rent and flatmates landing pages with few listings are marked noindex (by design for thin pages). Evidence mt24-d1366-blog-post.png.</t>
        </is>
      </c>
      <c r="J192" s="8" t="inlineStr">
        <is>
          <t>Guest</t>
        </is>
      </c>
      <c r="K192" s="8" t="inlineStr">
        <is>
          <t>Low</t>
        </is>
      </c>
      <c r="L192" s="8" t="n"/>
      <c r="M192" s="8" t="inlineStr">
        <is>
          <t>Desktop</t>
        </is>
      </c>
      <c r="N192" s="8" t="inlineStr">
        <is>
          <t>Manual</t>
        </is>
      </c>
    </row>
    <row r="193">
      <c r="A193" s="8" t="n">
        <v>192</v>
      </c>
      <c r="B193" s="8" t="inlineStr">
        <is>
          <t>General – Accessibility</t>
        </is>
      </c>
      <c r="C193" s="9" t="inlineStr">
        <is>
          <t>Keyboard and focus</t>
        </is>
      </c>
      <c r="D193" s="8" t="inlineStr">
        <is>
          <t>Use Tab only on Home and Sign in.</t>
        </is>
      </c>
      <c r="E193" s="8" t="inlineStr">
        <is>
          <t>"Skip to content" first; a visible focus ring on every step.</t>
        </is>
      </c>
      <c r="F193" s="10" t="inlineStr">
        <is>
          <t>Open</t>
        </is>
      </c>
      <c r="G193" s="10" t="n"/>
      <c r="H193" s="11" t="inlineStr">
        <is>
          <t>Pass</t>
        </is>
      </c>
      <c r="I193" s="8" t="inlineStr">
        <is>
          <t>QA 2026-10-14 (by hand, agent-driven): Keyboard-only use with visible focus: Pass - 40 Tab stops per page, all with a visible ring; Esc closed the Filters sheet. A few focused items were still scrolling into view when sampled (not counted as a fail). || Earlier: QA 2026-10-12: 1 direct server checks passed.</t>
        </is>
      </c>
      <c r="J193" s="8" t="inlineStr">
        <is>
          <t>All</t>
        </is>
      </c>
      <c r="K193" s="8" t="inlineStr">
        <is>
          <t>Medium</t>
        </is>
      </c>
      <c r="L193" s="8" t="n"/>
      <c r="M193" s="8" t="inlineStr">
        <is>
          <t>Desktop</t>
        </is>
      </c>
      <c r="N193" s="8" t="inlineStr">
        <is>
          <t>Manual</t>
        </is>
      </c>
    </row>
    <row r="194">
      <c r="A194" s="8" t="n">
        <v>193</v>
      </c>
      <c r="B194" s="8" t="inlineStr">
        <is>
          <t>General – Accessibility</t>
        </is>
      </c>
      <c r="C194" s="9" t="inlineStr">
        <is>
          <t>Labels and alt text</t>
        </is>
      </c>
      <c r="D194" s="8" t="inlineStr">
        <is>
          <t>Check form labels and image descriptions.</t>
        </is>
      </c>
      <c r="E194" s="8" t="inlineStr">
        <is>
          <t>Every field has a label; images have alt text.</t>
        </is>
      </c>
      <c r="F194" s="10" t="inlineStr">
        <is>
          <t>Open</t>
        </is>
      </c>
      <c r="G194" s="10" t="n"/>
      <c r="H194" s="11" t="inlineStr">
        <is>
          <t>Not tested</t>
        </is>
      </c>
      <c r="I194" s="8" t="inlineStr">
        <is>
          <t>RETEST: fixed in code + e2e on 2026-10-15 (QA-B03). Previous result: Fail. QA 2026-10-14 (by hand, agent-driven): Flatmate post form labels: Fail - See QA-B03 | QA-B03 (Medium). Steps: With a screen reader (or the accessibility tree) open the fields: /home-loans (loan amount, monthly income, city, 3 sliders), /services/property-valuation (carpet area, slider, name, mobile), /services/interior-renovation (name, mobile), /services/property-legal (notes, slider), /services hub (name, mobile), /list-property area fields (Carpet / Built-up / Super built-up), /societies Google search box. Expected: Each field announces its caption ("Loan amount", "Full Name", "Carpet Area"). Actual: The caption text is not tied to the field (no &lt;label for&gt;, aria-label or aria-labelledby); a screen reader reads only the placeholder (e.g. "e.g. 50,00,000") or nothing for the sliders. Also on /support "Raise a new ticket" (name, mobile, subject, details) and the dashboard Alerts society search box. Environment: Chromium 148, Guest, 1366x768 and 360x640. Evidence: Manual DOM/accessibility check, driver note labels.mjs; also the flatmate post form (+ &gt; I'm looking for a place &gt; Just me): Name/Age/Occupation announced only by placeholder (PostModal.jsx lines 34-37); /list-property area inputs; /locality review box. || Earlier: QA 2026-10-12: 2 direct server checks passed.</t>
        </is>
      </c>
      <c r="J194" s="8" t="inlineStr">
        <is>
          <t>All</t>
        </is>
      </c>
      <c r="K194" s="8" t="inlineStr">
        <is>
          <t>Medium</t>
        </is>
      </c>
      <c r="L194" s="8" t="inlineStr">
        <is>
          <t>QA-B03</t>
        </is>
      </c>
      <c r="M194" s="8" t="inlineStr">
        <is>
          <t>Both</t>
        </is>
      </c>
      <c r="N194" s="8" t="inlineStr">
        <is>
          <t>Manual</t>
        </is>
      </c>
    </row>
    <row r="195">
      <c r="A195" s="8" t="n">
        <v>194</v>
      </c>
      <c r="B195" s="8" t="inlineStr">
        <is>
          <t>General – Accessibility</t>
        </is>
      </c>
      <c r="C195" s="9" t="inlineStr">
        <is>
          <t>Colour contrast</t>
        </is>
      </c>
      <c r="D195" s="8" t="inlineStr">
        <is>
          <t>Check text contrast in light and dark themes.</t>
        </is>
      </c>
      <c r="E195" s="8" t="inlineStr">
        <is>
          <t>Text is easy to read (WCAG AA).</t>
        </is>
      </c>
      <c r="F195" s="10" t="inlineStr">
        <is>
          <t>Open</t>
        </is>
      </c>
      <c r="G195" s="10" t="n"/>
      <c r="H195" s="11" t="inlineStr">
        <is>
          <t>Blocked</t>
        </is>
      </c>
      <c r="I195" s="8" t="inlineStr">
        <is>
          <t>Blocked: contrast checker (axe) not installed; no manual audit done. Owner will run this in a sandbox: tasks/todo.md SB-11. Owner sandbox item SB-11 in tasks/todo.md.</t>
        </is>
      </c>
      <c r="J195" s="8" t="inlineStr">
        <is>
          <t>All</t>
        </is>
      </c>
      <c r="K195" s="8" t="inlineStr">
        <is>
          <t>Low</t>
        </is>
      </c>
      <c r="L195" s="8" t="inlineStr">
        <is>
          <t>SB-11</t>
        </is>
      </c>
      <c r="M195" s="8" t="inlineStr">
        <is>
          <t>Both</t>
        </is>
      </c>
      <c r="N195" s="8" t="inlineStr">
        <is>
          <t>Manual</t>
        </is>
      </c>
    </row>
    <row r="196">
      <c r="A196" s="8" t="n">
        <v>195</v>
      </c>
      <c r="B196" s="8" t="inlineStr">
        <is>
          <t>General – Browsers</t>
        </is>
      </c>
      <c r="C196" s="9" t="inlineStr">
        <is>
          <t>Safari, Firefox and real phones</t>
        </is>
      </c>
      <c r="D196" s="8" t="inlineStr">
        <is>
          <t>Repeat the main flows on iPhone Safari, Android Chrome and desktop Firefox.</t>
        </is>
      </c>
      <c r="E196" s="8" t="inlineStr">
        <is>
          <t>Same behaviour as Chrome.</t>
        </is>
      </c>
      <c r="F196" s="10" t="inlineStr">
        <is>
          <t>Open</t>
        </is>
      </c>
      <c r="G196" s="10" t="n"/>
      <c r="H196" s="11" t="inlineStr">
        <is>
          <t>Blocked</t>
        </is>
      </c>
      <c r="I196" s="8" t="inlineStr">
        <is>
          <t>QA 2026-10-14 (by hand, agent-driven): Firefox (Playwright build) at 390/1366/1920 and WebKit (Playwright build on Windows) at 390/1366 were swept with no layout faults; WebKit on Windows shows a thin fallback font. Real Safari on a Mac/iPhone and real Android/iOS phones were not available. || Earlier: Blocked: only Chromium was available; no real devices. Owner will run this in a sandbox: tasks/todo.md SB-11.</t>
        </is>
      </c>
      <c r="J196" s="8" t="inlineStr">
        <is>
          <t>All</t>
        </is>
      </c>
      <c r="K196" s="8" t="inlineStr">
        <is>
          <t>High</t>
        </is>
      </c>
      <c r="L196" s="8" t="inlineStr">
        <is>
          <t>SB-11</t>
        </is>
      </c>
      <c r="M196" s="8" t="inlineStr">
        <is>
          <t>Both</t>
        </is>
      </c>
      <c r="N196" s="8" t="inlineStr">
        <is>
          <t>Manual</t>
        </is>
      </c>
    </row>
    <row r="197">
      <c r="A197" s="8" t="n">
        <v>196</v>
      </c>
      <c r="B197" s="8" t="inlineStr">
        <is>
          <t>General – App</t>
        </is>
      </c>
      <c r="C197" s="9" t="inlineStr">
        <is>
          <t>Install, offline and update</t>
        </is>
      </c>
      <c r="D197" s="8" t="inlineStr">
        <is>
          <t>Install the app; go offline; reload after a new version.</t>
        </is>
      </c>
      <c r="E197" s="8" t="inlineStr">
        <is>
          <t>It installs; an offline banner shows; a new version takes over quietly on the next load (no prompt).</t>
        </is>
      </c>
      <c r="F197" s="10" t="inlineStr">
        <is>
          <t>Open</t>
        </is>
      </c>
      <c r="G197" s="10" t="n"/>
      <c r="H197" s="11" t="inlineStr">
        <is>
          <t>Not tested</t>
        </is>
      </c>
      <c r="I197" s="8" t="inlineStr">
        <is>
          <t>RETEST: QA-B60 fixed 2026-10-15; the install dialog itself is row 261 (SB-11). Previous result: Blocked. Phone 390 on a production build (local preview). Passed: app manifest (name Draazy, standalone, 192/512 icons incl. maskable); offline worker installs and controls the page; going offline shows "You're offline. Anything already loaded still works."; reloading the home page offline still shows it; banner clears when back online. New version: the new worker took over silently (no prompt, no reload) — this is the intended design ("update silently"), so "update prompt appears" in this row is out of date. Blocked: the install itself needs a real phone/desktop Chrome install dialog (headless browser never offers it). Also found QA-B60: a page never opened before shows the crash screen with a raw technical error when offline. Evidence mt25-p390-offline-banner.png, mt25-p390-offline-home.png, mt25-p390-offline-flatmates.png.</t>
        </is>
      </c>
      <c r="J197" s="8" t="inlineStr">
        <is>
          <t>All</t>
        </is>
      </c>
      <c r="K197" s="8" t="inlineStr">
        <is>
          <t>Low</t>
        </is>
      </c>
      <c r="L197" s="8" t="inlineStr">
        <is>
          <t>QA-B60</t>
        </is>
      </c>
      <c r="M197" s="8" t="inlineStr">
        <is>
          <t>Phone</t>
        </is>
      </c>
      <c r="N197" s="8" t="inlineStr">
        <is>
          <t>Manual</t>
        </is>
      </c>
    </row>
    <row r="198">
      <c r="A198" s="8" t="n">
        <v>197</v>
      </c>
      <c r="B198" s="8" t="inlineStr">
        <is>
          <t>General – App</t>
        </is>
      </c>
      <c r="C198" s="9" t="inlineStr">
        <is>
          <t>City</t>
        </is>
      </c>
      <c r="D198" s="8" t="inlineStr">
        <is>
          <t>Open the city menu and pick a city.</t>
        </is>
      </c>
      <c r="E198" s="8" t="inlineStr">
        <is>
          <t>Pune shows its listings. Picking a "Soon" city opens a waitlist form and listings stay on Pune. The app is English only, so there is no language switch.</t>
        </is>
      </c>
      <c r="F198" s="10" t="inlineStr">
        <is>
          <t>Open</t>
        </is>
      </c>
      <c r="G198" s="10" t="n"/>
      <c r="H198" s="11" t="inlineStr">
        <is>
          <t>Pass</t>
        </is>
      </c>
      <c r="I198" s="8" t="inlineStr">
        <is>
          <t>Desktop 1366 and phone 390, guest. City: the City pill lists Pune plus Bengaluru, Delhi NCR, Hyderabad, Mumbai marked "Soon" and "Request your city". Picking a "Soon" city keeps Pune and opens "Join the &lt;city&gt; waitlist"; a bad mobile says "Enter a valid 10-digit mobile number"; a valid one (double-tapped) sent one request and showed "You're on the Mumbai waitlist". Listings stay Pune (only live city). Esc closes the pop-up, but focus does not move into it (QA-B61). Language: there is no language switch any more — the app is English-only by decision (todo.md 2026-09-29); old /hi/help and /mr/help links go to /help. Row wording should drop "switch language". Evidence mt26-d1366-city-menu.png, mt26-p390-city-picked.png, mt26-p390-waitlist-done.png.</t>
        </is>
      </c>
      <c r="J198" s="8" t="inlineStr">
        <is>
          <t>All</t>
        </is>
      </c>
      <c r="K198" s="8" t="inlineStr">
        <is>
          <t>Low</t>
        </is>
      </c>
      <c r="L198" s="8" t="inlineStr">
        <is>
          <t>QA-B61</t>
        </is>
      </c>
      <c r="M198" s="8" t="inlineStr">
        <is>
          <t>Both</t>
        </is>
      </c>
      <c r="N198" s="8" t="inlineStr">
        <is>
          <t>Manual</t>
        </is>
      </c>
    </row>
    <row r="199">
      <c r="A199" s="8" t="n">
        <v>198</v>
      </c>
      <c r="B199" s="8" t="inlineStr">
        <is>
          <t>Integrations – Email</t>
        </is>
      </c>
      <c r="C199" s="9" t="inlineStr">
        <is>
          <t>Staff invite link opens the right website</t>
        </is>
      </c>
      <c r="D199" s="8" t="inlineStr">
        <is>
          <t>On a test or local setup, invite a staff member and open the link in the email.</t>
        </is>
      </c>
      <c r="E199" s="8" t="inlineStr">
        <is>
          <t>The link opens the same test/local website, never the live draazy.com.</t>
        </is>
      </c>
      <c r="F199" s="10" t="n"/>
      <c r="G199" s="10" t="n"/>
      <c r="H199" s="11" t="inlineStr">
        <is>
          <t>Pass</t>
        </is>
      </c>
      <c r="I199" s="8" t="inlineStr">
        <is>
          <t>QA 2026-10-15 (by hand) admin at 390x844 and 1366x768: Admin &gt; Team &gt; Add member; the invite link shown (the same link the email carries) is http://localhost:5236/staff-invite#..., i.e. this local site, not draazy.com. Opening it fills the code and setting a password shows "Password set". Email delivery itself used the local stand-in (SB-04). Evidence mt41-*-invite-link-shown.png, mt41-*-invite-new-link-first.png.</t>
        </is>
      </c>
      <c r="J199" s="8" t="inlineStr">
        <is>
          <t>Admin</t>
        </is>
      </c>
      <c r="K199" s="8" t="inlineStr">
        <is>
          <t>Medium</t>
        </is>
      </c>
      <c r="L199" s="8" t="n"/>
      <c r="M199" s="8" t="inlineStr">
        <is>
          <t>Both</t>
        </is>
      </c>
      <c r="N199" s="8" t="inlineStr">
        <is>
          <t>Both</t>
        </is>
      </c>
    </row>
    <row r="200">
      <c r="A200" s="8" t="n">
        <v>199</v>
      </c>
      <c r="B200" s="8" t="inlineStr">
        <is>
          <t>Integrations – Email</t>
        </is>
      </c>
      <c r="C200" s="9" t="inlineStr">
        <is>
          <t>Old invite link stops working after a resend</t>
        </is>
      </c>
      <c r="D200" s="8" t="inlineStr">
        <is>
          <t>Admin resends an invite. Open the old link, then the new one, then the new one again.</t>
        </is>
      </c>
      <c r="E200" s="8" t="inlineStr">
        <is>
          <t>The old link is refused; the new one works once; using it again is refused.</t>
        </is>
      </c>
      <c r="F200" s="10" t="n"/>
      <c r="G200" s="10" t="n"/>
      <c r="H200" s="11" t="inlineStr">
        <is>
          <t>Pass</t>
        </is>
      </c>
      <c r="I200" s="8" t="inlineStr">
        <is>
          <t>QA 2026-10-15 (by hand) at 390x844 and 1366x768: admin pressed "Reissue invite for ..." - a different link is shown. Old link: "This invite code is invalid or has expired. Ask an admin to send you a new one." New link: "Password set". New link again: refused with the same message. Evidence mt41-*-invite-old-link.png, -new-link-first.png, -new-link-again.png.</t>
        </is>
      </c>
      <c r="J200" s="8" t="inlineStr">
        <is>
          <t>Admin</t>
        </is>
      </c>
      <c r="K200" s="8" t="inlineStr">
        <is>
          <t>High</t>
        </is>
      </c>
      <c r="L200" s="8" t="n"/>
      <c r="M200" s="8" t="inlineStr">
        <is>
          <t>Both</t>
        </is>
      </c>
      <c r="N200" s="8" t="inlineStr">
        <is>
          <t>Both</t>
        </is>
      </c>
    </row>
    <row r="201">
      <c r="A201" s="8" t="n">
        <v>200</v>
      </c>
      <c r="B201" s="8" t="inlineStr">
        <is>
          <t>Owner ↔ Buyer</t>
        </is>
      </c>
      <c r="C201" s="9" t="inlineStr">
        <is>
          <t>Archiving keeps visits that already happened</t>
        </is>
      </c>
      <c r="D201" s="8" t="inlineStr">
        <is>
          <t>Owner archives a listing that has one visit later this week and one whose time has passed.</t>
        </is>
      </c>
      <c r="E201" s="8" t="inlineStr">
        <is>
          <t>Only the upcoming visit is cancelled (visitor told); the past one stays for the owner to mark done.</t>
        </is>
      </c>
      <c r="F201" s="10" t="n"/>
      <c r="G201" s="10" t="n"/>
      <c r="H201" s="11" t="inlineStr">
        <is>
          <t>Pass</t>
        </is>
      </c>
      <c r="I201" s="8" t="inlineStr">
        <is>
          <t>Automated backend check, 2026-10-12. Env: local build with the fixes, backend tests (JDK 25, PostgreSQL 13) and the automated browser suite (run-fast.ps1 -Full, Chromium), 2026-10-12. (Server-side check from the earlier pass; no screen involved, so automated evidence stands. Not repeated by hand.)</t>
        </is>
      </c>
      <c r="J201" s="8" t="inlineStr">
        <is>
          <t>Owner, Buyer</t>
        </is>
      </c>
      <c r="K201" s="8" t="inlineStr">
        <is>
          <t>Medium</t>
        </is>
      </c>
      <c r="L201" s="8" t="n"/>
      <c r="M201" s="8" t="inlineStr">
        <is>
          <t>Both</t>
        </is>
      </c>
      <c r="N201" s="8" t="inlineStr">
        <is>
          <t>Automated</t>
        </is>
      </c>
    </row>
    <row r="202">
      <c r="A202" s="8" t="n">
        <v>201</v>
      </c>
      <c r="B202" s="8" t="inlineStr">
        <is>
          <t>Flatmates – Privacy &amp; safety</t>
        </is>
      </c>
      <c r="C202" s="9" t="inlineStr">
        <is>
          <t>Suspended poster's flatmate post is hidden</t>
        </is>
      </c>
      <c r="D202" s="8" t="inlineStr">
        <is>
          <t>Admin suspends someone with a live flatmate post. Search the flatmate board, open the post by its link, and try to send interest.</t>
        </is>
      </c>
      <c r="E202" s="8" t="inlineStr">
        <is>
          <t>The post is not listed, its link says not found, and interest is refused, until the poster is reactivated.</t>
        </is>
      </c>
      <c r="F202" s="10" t="n"/>
      <c r="G202" s="10" t="n"/>
      <c r="H202" s="11" t="inlineStr">
        <is>
          <t>Pass</t>
        </is>
      </c>
      <c r="I202" s="8" t="inlineStr">
        <is>
          <t>QA 2026-10-15 (by hand) fresh seeker at 390x844 (room in Viman Nagar, lister 9700000035) and 1366x768 (room in Kothrud, lister 9700000036): before - the room is on the locality board and its page has "Send interest". Admin suspended the lister in Admin &gt; Users: the room is gone from the board, its link says "This post isn't available", no Send interest button, and the server refuses interest (404). After Reactivate the room and button are back. Evidence mt41-*-fm-suspended-*.png.</t>
        </is>
      </c>
      <c r="J202" s="8" t="inlineStr">
        <is>
          <t>Flatmate seeker, Flatmate lister, Admin</t>
        </is>
      </c>
      <c r="K202" s="8" t="inlineStr">
        <is>
          <t>High</t>
        </is>
      </c>
      <c r="L202" s="8" t="n"/>
      <c r="M202" s="8" t="inlineStr">
        <is>
          <t>Both</t>
        </is>
      </c>
      <c r="N202" s="8" t="inlineStr">
        <is>
          <t>Both</t>
        </is>
      </c>
    </row>
    <row r="203">
      <c r="A203" s="8" t="n">
        <v>202</v>
      </c>
      <c r="B203" s="8" t="inlineStr">
        <is>
          <t>Admin – Users</t>
        </is>
      </c>
      <c r="C203" s="9" t="inlineStr">
        <is>
          <t>Counts leave out a suspended owner's listings</t>
        </is>
      </c>
      <c r="D203" s="8" t="inlineStr">
        <is>
          <t>Note the number of live listings for the city. Suspend an owner who has one live listing.</t>
        </is>
      </c>
      <c r="E203" s="8" t="inlineStr">
        <is>
          <t>The count drops by one; society and locality numbers also leave the owner's listings out.</t>
        </is>
      </c>
      <c r="F203" s="10" t="n"/>
      <c r="G203" s="10" t="n"/>
      <c r="H203" s="11" t="inlineStr">
        <is>
          <t>Pass</t>
        </is>
      </c>
      <c r="I203" s="8" t="inlineStr">
        <is>
          <t>QA 2026-10-15 (by hand) guest at 390x844 and 1366x768: Rent search for Balewadi showed 3 listings and the Aster Greens society page a "Homes 1" tab. After admin suspended owner 9708919481 (their one live listing there): search 2, the society's Homes tab gone, the Balewadi locality page says its stats appear once it has 3 live listings. After Reactivate: back to 3. Home-page type tiles count sale stock only, so they did not move for this rent flat (by design). Evidence mt41-*-count-*.png.</t>
        </is>
      </c>
      <c r="J203" s="8" t="inlineStr">
        <is>
          <t>Admin</t>
        </is>
      </c>
      <c r="K203" s="8" t="inlineStr">
        <is>
          <t>Low</t>
        </is>
      </c>
      <c r="L203" s="8" t="n"/>
      <c r="M203" s="8" t="inlineStr">
        <is>
          <t>Both</t>
        </is>
      </c>
      <c r="N203" s="8" t="inlineStr">
        <is>
          <t>Both</t>
        </is>
      </c>
    </row>
    <row r="204">
      <c r="A204" s="8" t="n">
        <v>203</v>
      </c>
      <c r="B204" s="8" t="inlineStr">
        <is>
          <t>Integrations – Turnstile</t>
        </is>
      </c>
      <c r="C204" s="9" t="inlineStr">
        <is>
          <t>Bot check on Resend</t>
        </is>
      </c>
      <c r="D204" s="8" t="inlineStr">
        <is>
          <t>With live Turnstile keys, open Sign in, send the OTP, wait for Resend, then press Resend code</t>
        </is>
      </c>
      <c r="E204" s="8" t="inlineStr">
        <is>
          <t>The bot check loads (no blocked-script error in the browser console) and Resend sends a new code instead of being refused.</t>
        </is>
      </c>
      <c r="F204" s="10" t="inlineStr">
        <is>
          <t>Open</t>
        </is>
      </c>
      <c r="G204" s="10" t="n"/>
      <c r="H204" s="11" t="inlineStr">
        <is>
          <t>Pass</t>
        </is>
      </c>
      <c r="I204" s="8" t="inlineStr">
        <is>
          <t>Verified by the owner in the sandbox (SB-07), 2026-10-15. QA 2026-10-12: fixed locally (the page security policy blocked the Turnstile script; each send now uses a fresh token). Needs live keys: owner sandbox SB-07. Owner sandbox item SB-07 in tasks/todo.md.</t>
        </is>
      </c>
      <c r="J204" s="8" t="inlineStr">
        <is>
          <t>Guest</t>
        </is>
      </c>
      <c r="K204" s="8" t="inlineStr">
        <is>
          <t>Critical</t>
        </is>
      </c>
      <c r="L204" s="8" t="inlineStr">
        <is>
          <t>SB-07</t>
        </is>
      </c>
      <c r="M204" s="8" t="inlineStr">
        <is>
          <t>Both</t>
        </is>
      </c>
      <c r="N204" s="8" t="inlineStr">
        <is>
          <t>Manual</t>
        </is>
      </c>
    </row>
    <row r="205">
      <c r="A205" s="8" t="inlineStr">
        <is>
          <t>204</t>
        </is>
      </c>
      <c r="B205" s="8" t="inlineStr">
        <is>
          <t>Role access</t>
        </is>
      </c>
      <c r="C205" s="9" t="inlineStr">
        <is>
          <t>Manager cannot use admin-only settings</t>
        </is>
      </c>
      <c r="D205" s="8" t="inlineStr">
        <is>
          <t>Signed in as a manager, open admin settings (read and save) and erasure requests</t>
        </is>
      </c>
      <c r="E205" s="8" t="inlineStr">
        <is>
          <t>Refused (403)</t>
        </is>
      </c>
      <c r="F205" s="10" t="n"/>
      <c r="G205" s="10" t="n"/>
      <c r="H205" s="11" t="inlineStr">
        <is>
          <t>Pass</t>
        </is>
      </c>
      <c r="I205" s="8" t="inlineStr">
        <is>
          <t>QA 2026-10-14 (by hand, agent-driven): Manager cannot use admin-only settings: Pass - 3/3 refused 403</t>
        </is>
      </c>
      <c r="J205" s="8" t="inlineStr">
        <is>
          <t>Manager</t>
        </is>
      </c>
      <c r="K205" s="8" t="inlineStr">
        <is>
          <t>High</t>
        </is>
      </c>
      <c r="L205" s="8" t="n"/>
      <c r="M205" s="8" t="inlineStr">
        <is>
          <t>Both</t>
        </is>
      </c>
      <c r="N205" s="8" t="inlineStr">
        <is>
          <t>Manual</t>
        </is>
      </c>
    </row>
    <row r="206">
      <c r="A206" s="8" t="inlineStr">
        <is>
          <t>205</t>
        </is>
      </c>
      <c r="B206" s="8" t="inlineStr">
        <is>
          <t>Role access</t>
        </is>
      </c>
      <c r="C206" s="9" t="inlineStr">
        <is>
          <t>Admin can use admin-only functions</t>
        </is>
      </c>
      <c r="D206" s="8" t="inlineStr">
        <is>
          <t>Signed in as admin, open users, settings, erasure requests, team</t>
        </is>
      </c>
      <c r="E206" s="8" t="inlineStr">
        <is>
          <t>All open (200)</t>
        </is>
      </c>
      <c r="F206" s="10" t="n"/>
      <c r="G206" s="10" t="n"/>
      <c r="H206" s="11" t="inlineStr">
        <is>
          <t>Pass</t>
        </is>
      </c>
      <c r="I206" s="8" t="inlineStr">
        <is>
          <t>QA 2026-10-14 (by hand, agent-driven): Admin can use admin-only functions: Pass - 4/4 200</t>
        </is>
      </c>
      <c r="J206" s="8" t="inlineStr">
        <is>
          <t>Admin</t>
        </is>
      </c>
      <c r="K206" s="8" t="inlineStr">
        <is>
          <t>High</t>
        </is>
      </c>
      <c r="L206" s="8" t="n"/>
      <c r="M206" s="8" t="inlineStr">
        <is>
          <t>Both</t>
        </is>
      </c>
      <c r="N206" s="8" t="inlineStr">
        <is>
          <t>Manual</t>
        </is>
      </c>
    </row>
    <row r="207">
      <c r="A207" s="8" t="inlineStr">
        <is>
          <t>206</t>
        </is>
      </c>
      <c r="B207" s="8" t="inlineStr">
        <is>
          <t>Integrations – Turnstile</t>
        </is>
      </c>
      <c r="C207" s="9" t="inlineStr">
        <is>
          <t>Bot check widget loads on sign-in</t>
        </is>
      </c>
      <c r="D207" s="8" t="inlineStr">
        <is>
          <t>Open Sign in with the bot check switched on</t>
        </is>
      </c>
      <c r="E207" s="8" t="inlineStr">
        <is>
          <t>The Cloudflare check box appears and shows Success; no security-policy errors</t>
        </is>
      </c>
      <c r="F207" s="10" t="n"/>
      <c r="G207" s="10" t="n"/>
      <c r="H207" s="11" t="inlineStr">
        <is>
          <t>Pass</t>
        </is>
      </c>
      <c r="I207" s="8" t="inlineStr">
        <is>
          <t>QA 2026-10-14 (by hand, agent-driven): Bot check widget loads on sign-in: Pass - Chromium 390x844 with Cloudflare public test keys; frames load from challenges.cloudflare.com</t>
        </is>
      </c>
      <c r="J207" s="8" t="inlineStr">
        <is>
          <t>Guest</t>
        </is>
      </c>
      <c r="K207" s="8" t="inlineStr">
        <is>
          <t>High</t>
        </is>
      </c>
      <c r="L207" s="8" t="n"/>
      <c r="M207" s="8" t="inlineStr">
        <is>
          <t>Phone</t>
        </is>
      </c>
      <c r="N207" s="8" t="inlineStr">
        <is>
          <t>Manual</t>
        </is>
      </c>
    </row>
    <row r="208">
      <c r="A208" s="8" t="inlineStr">
        <is>
          <t>207</t>
        </is>
      </c>
      <c r="B208" s="8" t="inlineStr">
        <is>
          <t>Owner ↔ Buyer</t>
        </is>
      </c>
      <c r="C208" s="9" t="inlineStr">
        <is>
          <t>Double-tapping Send sends one message</t>
        </is>
      </c>
      <c r="D208" s="8" t="inlineStr">
        <is>
          <t>Type a message and double-tap Send</t>
        </is>
      </c>
      <c r="E208" s="8" t="inlineStr">
        <is>
          <t>Exactly one message appears</t>
        </is>
      </c>
      <c r="F208" s="10" t="n"/>
      <c r="G208" s="10" t="n"/>
      <c r="H208" s="11" t="inlineStr">
        <is>
          <t>Pass</t>
        </is>
      </c>
      <c r="I208" s="8" t="inlineStr">
        <is>
          <t>QA 2026-10-14 (by hand, agent-driven): Double-tapping Send sends one message: Pass</t>
        </is>
      </c>
      <c r="J208" s="8" t="inlineStr">
        <is>
          <t>Buyer</t>
        </is>
      </c>
      <c r="K208" s="8" t="inlineStr">
        <is>
          <t>Medium</t>
        </is>
      </c>
      <c r="L208" s="8" t="n"/>
      <c r="M208" s="8" t="inlineStr">
        <is>
          <t>Phone</t>
        </is>
      </c>
      <c r="N208" s="8" t="inlineStr">
        <is>
          <t>Manual</t>
        </is>
      </c>
    </row>
    <row r="209">
      <c r="A209" s="8" t="inlineStr">
        <is>
          <t>208</t>
        </is>
      </c>
      <c r="B209" s="8" t="inlineStr">
        <is>
          <t>Owner ↔ Buyer</t>
        </is>
      </c>
      <c r="C209" s="9" t="inlineStr">
        <is>
          <t>On a phone, Enter makes a new line instead of sending</t>
        </is>
      </c>
      <c r="D209" s="8" t="inlineStr">
        <is>
          <t>In a chat on a phone, type text and press Enter</t>
        </is>
      </c>
      <c r="E209" s="8" t="inlineStr">
        <is>
          <t>A new line is added; the Send button sends</t>
        </is>
      </c>
      <c r="F209" s="10" t="n"/>
      <c r="G209" s="10" t="n"/>
      <c r="H209" s="11" t="inlineStr">
        <is>
          <t>Pass</t>
        </is>
      </c>
      <c r="I209" s="8" t="inlineStr">
        <is>
          <t>QA 2026-10-14 (by hand, agent-driven): On a phone, Enter makes a new line instead of sending: Pass - Observed at 390x844</t>
        </is>
      </c>
      <c r="J209" s="8" t="inlineStr">
        <is>
          <t>Buyer</t>
        </is>
      </c>
      <c r="K209" s="8" t="inlineStr">
        <is>
          <t>Low</t>
        </is>
      </c>
      <c r="L209" s="8" t="n"/>
      <c r="M209" s="8" t="inlineStr">
        <is>
          <t>Phone</t>
        </is>
      </c>
      <c r="N209" s="8" t="inlineStr">
        <is>
          <t>Manual</t>
        </is>
      </c>
    </row>
    <row r="210">
      <c r="A210" s="8" t="inlineStr">
        <is>
          <t>209</t>
        </is>
      </c>
      <c r="B210" s="8" t="inlineStr">
        <is>
          <t>Owner ↔ Buyer</t>
        </is>
      </c>
      <c r="C210" s="9" t="inlineStr">
        <is>
          <t>Owner reschedules a visit</t>
        </is>
      </c>
      <c r="D210" s="8" t="inlineStr">
        <is>
          <t>Owner: Dashboard &gt; Visits &gt; Reschedule &gt; Save new slot</t>
        </is>
      </c>
      <c r="E210" s="8" t="inlineStr">
        <is>
          <t>Toast "Visit rescheduled"; visit returns to Awaiting confirmation</t>
        </is>
      </c>
      <c r="F210" s="10" t="n"/>
      <c r="G210" s="10" t="n"/>
      <c r="H210" s="11" t="inlineStr">
        <is>
          <t>Pass</t>
        </is>
      </c>
      <c r="I210" s="8" t="inlineStr">
        <is>
          <t>QA 2026-10-14 (by hand, agent-driven): Owner reschedules a visit: Pass - Saving the same date/time is accepted without warning (minor)</t>
        </is>
      </c>
      <c r="J210" s="8" t="inlineStr">
        <is>
          <t>Owner</t>
        </is>
      </c>
      <c r="K210" s="8" t="inlineStr">
        <is>
          <t>Medium</t>
        </is>
      </c>
      <c r="L210" s="8" t="n"/>
      <c r="M210" s="8" t="inlineStr">
        <is>
          <t>Desktop</t>
        </is>
      </c>
      <c r="N210" s="8" t="inlineStr">
        <is>
          <t>Manual</t>
        </is>
      </c>
    </row>
    <row r="211">
      <c r="A211" s="8" t="inlineStr">
        <is>
          <t>210</t>
        </is>
      </c>
      <c r="B211" s="8" t="inlineStr">
        <is>
          <t>Owner ↔ Buyer</t>
        </is>
      </c>
      <c r="C211" s="9" t="inlineStr">
        <is>
          <t>Buyer visit card names the property</t>
        </is>
      </c>
      <c r="D211" s="8" t="inlineStr">
        <is>
          <t>Buyer: Dashboard &gt; Visits after requesting a visit</t>
        </is>
      </c>
      <c r="E211" s="8" t="inlineStr">
        <is>
          <t>Card shows the property title</t>
        </is>
      </c>
      <c r="F211" s="10" t="n"/>
      <c r="G211" s="10" t="n"/>
      <c r="H211" s="11" t="inlineStr">
        <is>
          <t>Not tested</t>
        </is>
      </c>
      <c r="I211" s="8" t="inlineStr">
        <is>
          <t>RETEST: fixed in code + e2e on 2026-10-15 (QA-B12). Previous result: Fail. QA 2026-10-14 (by hand, agent-driven): Buyer visit card names the property: Fail - Actual: "Your in-person · Tomorrow · 10:30 AM". Chromium 390x844 buyer 9152892152. Evidence buyer-check-…-03-buyer_visits.png | QA-B12 (Medium). Steps: As a buyer, request a visit on /property/p5133; owner confirms; buyer opens Dashboard &gt; Visits Expected: The card names the property (e.g. "2 BHK Flat for sale in Baner") Actual: The card reads "Your in-person · Tomorrow · 10:30 AM" with only a "Property" link; with several visits the buyer cannot tell them apart Environment: Chromium 390x844, Buyer. Evidence: buyer-check-chromium-390x844-9152892152-03-buyer_visits.png</t>
        </is>
      </c>
      <c r="J211" s="8" t="inlineStr">
        <is>
          <t>Buyer</t>
        </is>
      </c>
      <c r="K211" s="8" t="inlineStr">
        <is>
          <t>Medium</t>
        </is>
      </c>
      <c r="L211" s="8" t="inlineStr">
        <is>
          <t>QA-B12</t>
        </is>
      </c>
      <c r="M211" s="8" t="inlineStr">
        <is>
          <t>Phone</t>
        </is>
      </c>
      <c r="N211" s="8" t="inlineStr">
        <is>
          <t>Manual</t>
        </is>
      </c>
    </row>
    <row r="212">
      <c r="A212" s="8" t="inlineStr">
        <is>
          <t>211</t>
        </is>
      </c>
      <c r="B212" s="8" t="inlineStr">
        <is>
          <t>Owner ↔ Buyer</t>
        </is>
      </c>
      <c r="C212" s="9" t="inlineStr">
        <is>
          <t>Buyer asks for photos on a listing without photos</t>
        </is>
      </c>
      <c r="D212" s="8" t="inlineStr">
        <is>
          <t>As a buyer on /property/p5133 tap Request photos</t>
        </is>
      </c>
      <c r="E212" s="8" t="inlineStr">
        <is>
          <t>Toast "Request sent — the owner will see it in their dashboard"; owner sees it under Photo requests</t>
        </is>
      </c>
      <c r="F212" s="10" t="n"/>
      <c r="G212" s="10" t="n"/>
      <c r="H212" s="11" t="inlineStr">
        <is>
          <t>Pass</t>
        </is>
      </c>
      <c r="I212" s="8" t="inlineStr">
        <is>
          <t>QA 2026-10-14 (by hand, agent-driven): Buyer asks for photos on a listing without photos: Pass - Gallery state itself: QA-B05</t>
        </is>
      </c>
      <c r="J212" s="8" t="inlineStr">
        <is>
          <t>Buyer, Owner</t>
        </is>
      </c>
      <c r="K212" s="8" t="inlineStr">
        <is>
          <t>Medium</t>
        </is>
      </c>
      <c r="L212" s="8" t="n"/>
      <c r="M212" s="8" t="inlineStr">
        <is>
          <t>Both</t>
        </is>
      </c>
      <c r="N212" s="8" t="inlineStr">
        <is>
          <t>Manual</t>
        </is>
      </c>
    </row>
    <row r="213">
      <c r="A213" s="8" t="inlineStr">
        <is>
          <t>212</t>
        </is>
      </c>
      <c r="B213" s="8" t="inlineStr">
        <is>
          <t>Search</t>
        </is>
      </c>
      <c r="C213" s="9" t="inlineStr">
        <is>
          <t>Make an offer</t>
        </is>
      </c>
      <c r="D213" s="8" t="inlineStr">
        <is>
          <t>Tap Make an offer on a sale listing</t>
        </is>
      </c>
      <c r="E213" s="8" t="inlineStr">
        <is>
          <t>An offer box opens with amount, target date, Send offer and Cancel</t>
        </is>
      </c>
      <c r="F213" s="10" t="n"/>
      <c r="G213" s="10" t="n"/>
      <c r="H213" s="11" t="inlineStr">
        <is>
          <t>Not tested</t>
        </is>
      </c>
      <c r="I213" s="8" t="inlineStr">
        <is>
          <t>RETEST: fixed in code + e2e on 2026-10-15 (QA-B09). Previous result: Fail. QA 2026-10-14 (by hand, agent-driven): Make an offer: Fail - Unlabelled amount box; example "e.g. 32000" on a ₹72 L listing | QA-B09 (Low). Steps: Open /property/p5133 (₹72 L sale) as a buyer and tap Make an offer Expected: The amount box is labelled (e.g. "Your offer (₹)") with an example near the asking price Actual: The box has no label and the example reads "e.g. 32000", which looks like a monthly rent, not a ₹72 L sale offer Environment: Chromium 390x844, Buyer. Evidence: prop-ctas-chromium-390x844-9152892152-01-Make_an_offer.png</t>
        </is>
      </c>
      <c r="J213" s="8" t="inlineStr">
        <is>
          <t>Buyer</t>
        </is>
      </c>
      <c r="K213" s="8" t="inlineStr">
        <is>
          <t>Low</t>
        </is>
      </c>
      <c r="L213" s="8" t="inlineStr">
        <is>
          <t>QA-B09</t>
        </is>
      </c>
      <c r="M213" s="8" t="inlineStr">
        <is>
          <t>Phone</t>
        </is>
      </c>
      <c r="N213" s="8" t="inlineStr">
        <is>
          <t>Manual</t>
        </is>
      </c>
    </row>
    <row r="214">
      <c r="A214" s="8" t="inlineStr">
        <is>
          <t>213</t>
        </is>
      </c>
      <c r="B214" s="8" t="inlineStr">
        <is>
          <t>Search</t>
        </is>
      </c>
      <c r="C214" s="9" t="inlineStr">
        <is>
          <t>Share button gives feedback</t>
        </is>
      </c>
      <c r="D214" s="8" t="inlineStr">
        <is>
          <t>Tap Share on a listing</t>
        </is>
      </c>
      <c r="E214" s="8" t="inlineStr">
        <is>
          <t>The share sheet opens, or the link is copied with a toast</t>
        </is>
      </c>
      <c r="F214" s="10" t="n"/>
      <c r="G214" s="10" t="n"/>
      <c r="H214" s="11" t="inlineStr">
        <is>
          <t>Pass</t>
        </is>
      </c>
      <c r="I214" s="8" t="inlineStr">
        <is>
          <t>QA 2026-10-14 (by hand, agent-driven): Share button gives feedback: Pass - Headless test browser has no clipboard permission: app showed "Could not copy the link" (correct error feedback). Real-phone share sheet: Blocked (SB-11)</t>
        </is>
      </c>
      <c r="J214" s="8" t="inlineStr">
        <is>
          <t>Buyer</t>
        </is>
      </c>
      <c r="K214" s="8" t="inlineStr">
        <is>
          <t>Low</t>
        </is>
      </c>
      <c r="L214" s="8" t="n"/>
      <c r="M214" s="8" t="inlineStr">
        <is>
          <t>Phone</t>
        </is>
      </c>
      <c r="N214" s="8" t="inlineStr">
        <is>
          <t>Manual</t>
        </is>
      </c>
    </row>
    <row r="215">
      <c r="A215" s="8" t="inlineStr">
        <is>
          <t>214</t>
        </is>
      </c>
      <c r="B215" s="8" t="inlineStr">
        <is>
          <t>Staff – Listing review</t>
        </is>
      </c>
      <c r="C215" s="9" t="inlineStr">
        <is>
          <t>Needs info with a reason</t>
        </is>
      </c>
      <c r="D215" s="8" t="inlineStr">
        <is>
          <t>Open a pending listing &gt; Needs info &gt; pick a reason &gt; add a note &gt; Send needs info.</t>
        </is>
      </c>
      <c r="E215" s="8" t="inlineStr">
        <is>
          <t>Send is disabled until a reason is picked. After sending, the owner gets a "needs info" notice with the note.</t>
        </is>
      </c>
      <c r="F215" s="10" t="n"/>
      <c r="G215" s="10" t="n"/>
      <c r="H215" s="11" t="inlineStr">
        <is>
          <t>Pass</t>
        </is>
      </c>
      <c r="I215" s="8" t="inlineStr">
        <is>
          <t>QA 2026-10-14 (by hand, agent-driven): Needs info with a reason: Pass - Staff 1366x768; owner 9108512606 saw "Your listing needs info … Please add a kitchen photo" at 390x844.</t>
        </is>
      </c>
      <c r="J215" s="8" t="inlineStr">
        <is>
          <t>Staff, Owner</t>
        </is>
      </c>
      <c r="K215" s="8" t="inlineStr">
        <is>
          <t>High</t>
        </is>
      </c>
      <c r="L215" s="8" t="n"/>
      <c r="M215" s="8" t="inlineStr">
        <is>
          <t>Both</t>
        </is>
      </c>
      <c r="N215" s="8" t="inlineStr">
        <is>
          <t>Manual</t>
        </is>
      </c>
    </row>
    <row r="216">
      <c r="A216" s="8" t="inlineStr">
        <is>
          <t>215</t>
        </is>
      </c>
      <c r="B216" s="8" t="inlineStr">
        <is>
          <t>Staff – Listing review</t>
        </is>
      </c>
      <c r="C216" s="9" t="inlineStr">
        <is>
          <t>Owner sees approval and free-tier hold</t>
        </is>
      </c>
      <c r="D216" s="8" t="inlineStr">
        <is>
          <t>As the owner, open Notifications and My Properties after approval.</t>
        </is>
      </c>
      <c r="E216" s="8" t="inlineStr">
        <is>
          <t>Owner sees "Your listing is approved" and why it is not live yet (free tier), with a way to go live.</t>
        </is>
      </c>
      <c r="F216" s="10" t="n"/>
      <c r="G216" s="10" t="n"/>
      <c r="H216" s="11" t="inlineStr">
        <is>
          <t>Pass</t>
        </is>
      </c>
      <c r="I216" s="8" t="inlineStr">
        <is>
          <t>QA 2026-10-14 (by hand, agent-driven): Owner sees approval and free-tier hold: Pass - Omkar 9708919481 at 390x844: notice explains the free tier and ₹999 pass; dashboard shows "1 of 1 free live listing used".</t>
        </is>
      </c>
      <c r="J216" s="8" t="inlineStr">
        <is>
          <t>Owner</t>
        </is>
      </c>
      <c r="K216" s="8" t="inlineStr">
        <is>
          <t>High</t>
        </is>
      </c>
      <c r="L216" s="8" t="n"/>
      <c r="M216" s="8" t="inlineStr">
        <is>
          <t>Phone</t>
        </is>
      </c>
      <c r="N216" s="8" t="inlineStr">
        <is>
          <t>Manual</t>
        </is>
      </c>
    </row>
    <row r="217">
      <c r="A217" s="8" t="inlineStr">
        <is>
          <t>216</t>
        </is>
      </c>
      <c r="B217" s="8" t="inlineStr">
        <is>
          <t>Staff – Identity review</t>
        </is>
      </c>
      <c r="C217" s="9" t="inlineStr">
        <is>
          <t>User starts ID check on a phone</t>
        </is>
      </c>
      <c r="D217" s="8" t="inlineStr">
        <is>
          <t>On a phone, open Verify identity, pick PAN, tick the consent box, tap Start capture and take the front photo.</t>
        </is>
      </c>
      <c r="E217" s="8" t="inlineStr">
        <is>
          <t>The camera opens with a frame, live hints ("Too dark", "No face yet") and a Take button for each side and the selfie.</t>
        </is>
      </c>
      <c r="F217" s="10" t="n"/>
      <c r="G217" s="10" t="n"/>
      <c r="H217" s="11" t="inlineStr">
        <is>
          <t>Blocked</t>
        </is>
      </c>
      <c r="I217" s="8" t="inlineStr">
        <is>
          <t>QA 2026-10-14 (by hand, agent-driven): User starts ID check on a phone: Blocked - Agent-driven Chromium 390x844 with a fake camera: consent, PAN pick, camera frame and hints work; the selfie step needs a real face, so the full capture-and-submit could not be done. Needs a real phone.</t>
        </is>
      </c>
      <c r="J217" s="8" t="inlineStr">
        <is>
          <t>Buyer, Tenant, Owner</t>
        </is>
      </c>
      <c r="K217" s="8" t="inlineStr">
        <is>
          <t>High</t>
        </is>
      </c>
      <c r="L217" s="8" t="inlineStr">
        <is>
          <t>SB-11</t>
        </is>
      </c>
      <c r="M217" s="8" t="inlineStr">
        <is>
          <t>Phone</t>
        </is>
      </c>
      <c r="N217" s="8" t="inlineStr">
        <is>
          <t>Manual</t>
        </is>
      </c>
    </row>
    <row r="218">
      <c r="A218" s="8" t="inlineStr">
        <is>
          <t>217</t>
        </is>
      </c>
      <c r="B218" s="8" t="inlineStr">
        <is>
          <t>Staff – Identity review</t>
        </is>
      </c>
      <c r="C218" s="9" t="inlineStr">
        <is>
          <t>ID check on a computer sends you to a phone</t>
        </is>
      </c>
      <c r="D218" s="8" t="inlineStr">
        <is>
          <t>On a computer, open Verify identity.</t>
        </is>
      </c>
      <c r="E218" s="8" t="inlineStr">
        <is>
          <t>A QR code asks you to continue on a phone.</t>
        </is>
      </c>
      <c r="F218" s="10" t="n"/>
      <c r="G218" s="10" t="n"/>
      <c r="H218" s="11" t="inlineStr">
        <is>
          <t>Pass</t>
        </is>
      </c>
      <c r="I218" s="8" t="inlineStr">
        <is>
          <t>QA 2026-10-14 (by hand, agent-driven): ID check on a computer sends you to a phone: Pass - Seen at 1366x768.</t>
        </is>
      </c>
      <c r="J218" s="8" t="inlineStr">
        <is>
          <t>Buyer, Tenant, Owner</t>
        </is>
      </c>
      <c r="K218" s="8" t="inlineStr">
        <is>
          <t>Low</t>
        </is>
      </c>
      <c r="L218" s="8" t="n"/>
      <c r="M218" s="8" t="inlineStr">
        <is>
          <t>Desktop</t>
        </is>
      </c>
      <c r="N218" s="8" t="inlineStr">
        <is>
          <t>Manual</t>
        </is>
      </c>
    </row>
    <row r="219">
      <c r="A219" s="8" t="inlineStr">
        <is>
          <t>218</t>
        </is>
      </c>
      <c r="B219" s="8" t="inlineStr">
        <is>
          <t>Staff – Identity review</t>
        </is>
      </c>
      <c r="C219" s="9" t="inlineStr">
        <is>
          <t>Two staff on the same ID case</t>
        </is>
      </c>
      <c r="D219" s="8" t="inlineStr">
        <is>
          <t>Manager opens a case (claims it). Admin tries to claim it and to reject it.</t>
        </is>
      </c>
      <c r="E219" s="8" t="inlineStr">
        <is>
          <t>Admin is refused: "This case is claimed by Manager".</t>
        </is>
      </c>
      <c r="F219" s="10" t="n"/>
      <c r="G219" s="10" t="n"/>
      <c r="H219" s="11" t="inlineStr">
        <is>
          <t>Pass</t>
        </is>
      </c>
      <c r="I219" s="8" t="inlineStr">
        <is>
          <t>QA 2026-10-14 (by hand, agent-driven): Two staff on the same ID case: Pass - API: claim 200, second claim 409 identity_case_claimed, reject 409; release 204.</t>
        </is>
      </c>
      <c r="J219" s="8" t="inlineStr">
        <is>
          <t>Manager, Admin</t>
        </is>
      </c>
      <c r="K219" s="8" t="inlineStr">
        <is>
          <t>High</t>
        </is>
      </c>
      <c r="L219" s="8" t="n"/>
      <c r="M219" s="8" t="inlineStr">
        <is>
          <t>Both</t>
        </is>
      </c>
      <c r="N219" s="8" t="inlineStr">
        <is>
          <t>Manual</t>
        </is>
      </c>
    </row>
    <row r="220">
      <c r="A220" s="8" t="inlineStr">
        <is>
          <t>219</t>
        </is>
      </c>
      <c r="B220" s="8" t="inlineStr">
        <is>
          <t>Interactions – Selections</t>
        </is>
      </c>
      <c r="C220" s="9" t="inlineStr">
        <is>
          <t>Date picker</t>
        </is>
      </c>
      <c r="D220" s="8" t="inlineStr">
        <is>
          <t>Open a date field (KYC Date of birth) and look at the calendar.</t>
        </is>
      </c>
      <c r="E220" s="8" t="inlineStr">
        <is>
          <t>A calendar opens with month and year pickers; future dates cannot be picked.</t>
        </is>
      </c>
      <c r="F220" s="10" t="n"/>
      <c r="G220" s="10" t="n"/>
      <c r="H220" s="11" t="inlineStr">
        <is>
          <t>Pass</t>
        </is>
      </c>
      <c r="I220" s="8" t="inlineStr">
        <is>
          <t>QA 2026-10-14 (by hand, agent-driven): Date picker: Pass - Future days greyed out after today.</t>
        </is>
      </c>
      <c r="J220" s="8" t="inlineStr">
        <is>
          <t>Staff</t>
        </is>
      </c>
      <c r="K220" s="8" t="inlineStr">
        <is>
          <t>Low</t>
        </is>
      </c>
      <c r="L220" s="8" t="n"/>
      <c r="M220" s="8" t="inlineStr">
        <is>
          <t>Desktop</t>
        </is>
      </c>
      <c r="N220" s="8" t="inlineStr">
        <is>
          <t>Manual</t>
        </is>
      </c>
    </row>
    <row r="221">
      <c r="A221" s="8" t="inlineStr">
        <is>
          <t>220</t>
        </is>
      </c>
      <c r="B221" s="8" t="inlineStr">
        <is>
          <t>Role access</t>
        </is>
      </c>
      <c r="C221" s="9" t="inlineStr">
        <is>
          <t>Manager cannot suspend users</t>
        </is>
      </c>
      <c r="D221" s="8" t="inlineStr">
        <is>
          <t>As a manager, open Users and look for Suspend.</t>
        </is>
      </c>
      <c r="E221" s="8" t="inlineStr">
        <is>
          <t>No Suspend or Archive buttons for a manager; the API refuses.</t>
        </is>
      </c>
      <c r="F221" s="10" t="n"/>
      <c r="G221" s="10" t="n"/>
      <c r="H221" s="11" t="inlineStr">
        <is>
          <t>Pass</t>
        </is>
      </c>
      <c r="I221" s="8" t="inlineStr">
        <is>
          <t>QA 2026-10-14 (by hand, agent-driven): Manager cannot suspend users: Pass - Manager 390x844 saw only the badge action.</t>
        </is>
      </c>
      <c r="J221" s="8" t="inlineStr">
        <is>
          <t>Manager</t>
        </is>
      </c>
      <c r="K221" s="8" t="inlineStr">
        <is>
          <t>High</t>
        </is>
      </c>
      <c r="L221" s="8" t="n"/>
      <c r="M221" s="8" t="inlineStr">
        <is>
          <t>Phone</t>
        </is>
      </c>
      <c r="N221" s="8" t="inlineStr">
        <is>
          <t>Manual</t>
        </is>
      </c>
    </row>
    <row r="222">
      <c r="A222" s="8" t="inlineStr">
        <is>
          <t>221</t>
        </is>
      </c>
      <c r="B222" s="8" t="inlineStr">
        <is>
          <t>Security – Input</t>
        </is>
      </c>
      <c r="C222" s="9" t="inlineStr">
        <is>
          <t>Report text with code in it is shown as plain text</t>
        </is>
      </c>
      <c r="D222" s="8" t="inlineStr">
        <is>
          <t>Report a listing with details "&lt;img src=x onerror=alert(1)&gt;". Open the report as staff.</t>
        </is>
      </c>
      <c r="E222" s="8" t="inlineStr">
        <is>
          <t>The text appears as typed; nothing runs.</t>
        </is>
      </c>
      <c r="F222" s="10" t="n"/>
      <c r="G222" s="10" t="n"/>
      <c r="H222" s="11" t="inlineStr">
        <is>
          <t>Pass</t>
        </is>
      </c>
      <c r="I222" s="8" t="inlineStr">
        <is>
          <t>QA 2026-10-14 (by hand, agent-driven): Report text with code in it is shown as plain text: Pass - Rendered literally in /admin/reports at 1366x768.</t>
        </is>
      </c>
      <c r="J222" s="8" t="inlineStr">
        <is>
          <t>Buyer, Admin</t>
        </is>
      </c>
      <c r="K222" s="8" t="inlineStr">
        <is>
          <t>Critical</t>
        </is>
      </c>
      <c r="L222" s="8" t="n"/>
      <c r="M222" s="8" t="inlineStr">
        <is>
          <t>Desktop</t>
        </is>
      </c>
      <c r="N222" s="8" t="inlineStr">
        <is>
          <t>Manual</t>
        </is>
      </c>
    </row>
    <row r="223">
      <c r="A223" s="8" t="inlineStr">
        <is>
          <t>222</t>
        </is>
      </c>
      <c r="B223" s="8" t="inlineStr">
        <is>
          <t>Staff – Support &amp; reports</t>
        </is>
      </c>
      <c r="C223" s="9" t="inlineStr">
        <is>
          <t>Open a ticket on a phone</t>
        </is>
      </c>
      <c r="D223" s="8" t="inlineStr">
        <is>
          <t>Staff: on a phone open /admin/support and tap Reply on a ticket</t>
        </is>
      </c>
      <c r="E223" s="8" t="inlineStr">
        <is>
          <t>A sheet opens with the full conversation and a reply box</t>
        </is>
      </c>
      <c r="F223" s="10" t="n"/>
      <c r="G223" s="10" t="n"/>
      <c r="H223" s="11" t="inlineStr">
        <is>
          <t>Pass</t>
        </is>
      </c>
      <c r="I223" s="8" t="inlineStr">
        <is>
          <t>QA 2026-10-14 (by hand, agent-driven): Open a ticket on a phone: Pass - Sheet opens and stays open (earlier misses were a hidden duplicate button in the driver selector, not an app bug).</t>
        </is>
      </c>
      <c r="J223" s="8" t="inlineStr">
        <is>
          <t>Admin</t>
        </is>
      </c>
      <c r="K223" s="8" t="inlineStr">
        <is>
          <t>Medium</t>
        </is>
      </c>
      <c r="L223" s="8" t="n"/>
      <c r="M223" s="8" t="inlineStr">
        <is>
          <t>Phone</t>
        </is>
      </c>
      <c r="N223" s="8" t="inlineStr">
        <is>
          <t>Manual</t>
        </is>
      </c>
    </row>
    <row r="224">
      <c r="A224" s="8" t="inlineStr">
        <is>
          <t>223</t>
        </is>
      </c>
      <c r="B224" s="8" t="inlineStr">
        <is>
          <t>Staff – Support &amp; reports</t>
        </is>
      </c>
      <c r="C224" s="9" t="inlineStr">
        <is>
          <t>Reply to a customer</t>
        </is>
      </c>
      <c r="D224" s="8" t="inlineStr">
        <is>
          <t>Type a reply in the sheet and tap Send</t>
        </is>
      </c>
      <c r="E224" s="8" t="inlineStr">
        <is>
          <t>"Reply sent" toast; the customer sees the reply on their Support page</t>
        </is>
      </c>
      <c r="F224" s="10" t="n"/>
      <c r="G224" s="10" t="n"/>
      <c r="H224" s="11" t="inlineStr">
        <is>
          <t>Pass</t>
        </is>
      </c>
      <c r="I224" s="8" t="inlineStr">
        <is>
          <t>QA 2026-10-14 (by hand, agent-driven): Reply to a customer: Pass - Send is single-shot (second Send was disabled). Customer sees "Support: …" on /support at 390x844; HTML shown as text.</t>
        </is>
      </c>
      <c r="J224" s="8" t="inlineStr">
        <is>
          <t>Admin, Buyer</t>
        </is>
      </c>
      <c r="K224" s="8" t="inlineStr">
        <is>
          <t>Medium</t>
        </is>
      </c>
      <c r="L224" s="8" t="n"/>
      <c r="M224" s="8" t="inlineStr">
        <is>
          <t>Phone</t>
        </is>
      </c>
      <c r="N224" s="8" t="inlineStr">
        <is>
          <t>Manual</t>
        </is>
      </c>
    </row>
    <row r="225">
      <c r="A225" s="8" t="inlineStr">
        <is>
          <t>224</t>
        </is>
      </c>
      <c r="B225" s="8" t="inlineStr">
        <is>
          <t>Flatmates – Matching</t>
        </is>
      </c>
      <c r="C225" s="9" t="inlineStr">
        <is>
          <t>Filters on a phone</t>
        </is>
      </c>
      <c r="D225" s="8" t="inlineStr">
        <is>
          <t>Guest at 360x640 and 390x844: open Filters, tick Women, Veg, Non-smoker, tap Show results</t>
        </is>
      </c>
      <c r="E225" s="8" t="inlineStr">
        <is>
          <t>Sheet opens, background does not scroll, Show button stays visible, list narrows and the filters stay after refresh</t>
        </is>
      </c>
      <c r="F225" s="10" t="n"/>
      <c r="G225" s="10" t="n"/>
      <c r="H225" s="11" t="inlineStr">
        <is>
          <t>Pass</t>
        </is>
      </c>
      <c r="I225" s="8" t="inlineStr">
        <is>
          <t>QA 2026-10-14 (by hand, agent-driven): Filters on a phone: Pass - 12 -&gt; 2 results; URL keeps g=female&amp;habits=…; reload keeps them; footer Clear/Show fixed at bottom at 360x640.</t>
        </is>
      </c>
      <c r="J225" s="8" t="inlineStr">
        <is>
          <t>Guest</t>
        </is>
      </c>
      <c r="K225" s="8" t="inlineStr">
        <is>
          <t>Medium</t>
        </is>
      </c>
      <c r="L225" s="8" t="n"/>
      <c r="M225" s="8" t="inlineStr">
        <is>
          <t>Phone</t>
        </is>
      </c>
      <c r="N225" s="8" t="inlineStr">
        <is>
          <t>Manual</t>
        </is>
      </c>
    </row>
    <row r="226">
      <c r="A226" s="8" t="inlineStr">
        <is>
          <t>225</t>
        </is>
      </c>
      <c r="B226" s="8" t="inlineStr">
        <is>
          <t>Flatmates – Matching</t>
        </is>
      </c>
      <c r="C226" s="9" t="inlineStr">
        <is>
          <t>Room details hide contact numbers</t>
        </is>
      </c>
      <c r="D226" s="8" t="inlineStr">
        <is>
          <t>Open a room as a guest and scan the page</t>
        </is>
      </c>
      <c r="E226" s="8" t="inlineStr">
        <is>
          <t>No phone number or email of the host is shown</t>
        </is>
      </c>
      <c r="F226" s="10" t="n"/>
      <c r="G226" s="10" t="n"/>
      <c r="H226" s="11" t="inlineStr">
        <is>
          <t>Pass</t>
        </is>
      </c>
      <c r="I226" s="8" t="inlineStr">
        <is>
          <t>QA 2026-10-14 (by hand, agent-driven): Room details hide contact numbers: Pass - No 10-digit number in page text; chat header shows "Number locked".</t>
        </is>
      </c>
      <c r="J226" s="8" t="inlineStr">
        <is>
          <t>Guest</t>
        </is>
      </c>
      <c r="K226" s="8" t="inlineStr">
        <is>
          <t>Medium</t>
        </is>
      </c>
      <c r="L226" s="8" t="n"/>
      <c r="M226" s="8" t="inlineStr">
        <is>
          <t>Phone</t>
        </is>
      </c>
      <c r="N226" s="8" t="inlineStr">
        <is>
          <t>Manual</t>
        </is>
      </c>
    </row>
    <row r="227">
      <c r="A227" s="8" t="inlineStr">
        <is>
          <t>226</t>
        </is>
      </c>
      <c r="B227" s="8" t="inlineStr">
        <is>
          <t>Flatmates – Matching</t>
        </is>
      </c>
      <c r="C227" s="9" t="inlineStr">
        <is>
          <t>Chat after accept</t>
        </is>
      </c>
      <c r="D227" s="8" t="inlineStr">
        <is>
          <t>Accepted seeker taps Message owner, sends a message; host replies on desktop</t>
        </is>
      </c>
      <c r="E227" s="8" t="inlineStr">
        <is>
          <t>Both see the thread; HTML shows as text</t>
        </is>
      </c>
      <c r="F227" s="10" t="n"/>
      <c r="G227" s="10" t="n"/>
      <c r="H227" s="11" t="inlineStr">
        <is>
          <t>Pass</t>
        </is>
      </c>
      <c r="I227" s="8" t="inlineStr">
        <is>
          <t>QA 2026-10-14 (by hand, agent-driven): Chat after accept: Pass - Works; on 1366x768 the Ask Draaz button covers the Send button (Enter still sends) - see QA-B04. On phone Enter adds a new line, the Send button sends.</t>
        </is>
      </c>
      <c r="J227" s="8" t="inlineStr">
        <is>
          <t>Flatmate seeker, Flatmate lister</t>
        </is>
      </c>
      <c r="K227" s="8" t="inlineStr">
        <is>
          <t>Medium</t>
        </is>
      </c>
      <c r="L227" s="8" t="inlineStr">
        <is>
          <t>QA-B04</t>
        </is>
      </c>
      <c r="M227" s="8" t="inlineStr">
        <is>
          <t>Both</t>
        </is>
      </c>
      <c r="N227" s="8" t="inlineStr">
        <is>
          <t>Manual</t>
        </is>
      </c>
    </row>
    <row r="228">
      <c r="A228" s="8" t="inlineStr">
        <is>
          <t>227</t>
        </is>
      </c>
      <c r="B228" s="8" t="inlineStr">
        <is>
          <t>Flatmates – Posting</t>
        </is>
      </c>
      <c r="C228" s="9" t="inlineStr">
        <is>
          <t>Post chooser</t>
        </is>
      </c>
      <c r="D228" s="8" t="inlineStr">
        <is>
          <t>Tap + in the bottom bar</t>
        </is>
      </c>
      <c r="E228" s="8" t="inlineStr">
        <is>
          <t>Sheet offers: property, a room in my place, I'm looking for a place (then Just me / Start a group)</t>
        </is>
      </c>
      <c r="F228" s="10" t="n"/>
      <c r="G228" s="10" t="n"/>
      <c r="H228" s="11" t="inlineStr">
        <is>
          <t>Pass</t>
        </is>
      </c>
      <c r="I228" s="8" t="inlineStr">
        <is>
          <t>QA 2026-10-14 (by hand, agent-driven): Post chooser: Pass</t>
        </is>
      </c>
      <c r="J228" s="8" t="inlineStr">
        <is>
          <t>Buyer</t>
        </is>
      </c>
      <c r="K228" s="8" t="inlineStr">
        <is>
          <t>Medium</t>
        </is>
      </c>
      <c r="L228" s="8" t="n"/>
      <c r="M228" s="8" t="inlineStr">
        <is>
          <t>Phone</t>
        </is>
      </c>
      <c r="N228" s="8" t="inlineStr">
        <is>
          <t>Manual</t>
        </is>
      </c>
    </row>
    <row r="229">
      <c r="A229" s="8" t="inlineStr">
        <is>
          <t>228</t>
        </is>
      </c>
      <c r="B229" s="8" t="inlineStr">
        <is>
          <t>Flatmates – Posting</t>
        </is>
      </c>
      <c r="C229" s="9" t="inlineStr">
        <is>
          <t>Edit a seeker post with bad input</t>
        </is>
      </c>
      <c r="D229" s="8" t="inlineStr">
        <is>
          <t>Edit your seeker post: max budget below min, empty name, then valid</t>
        </is>
      </c>
      <c r="E229" s="8" t="inlineStr">
        <is>
          <t>Clear field errors, then "Your request is updated."</t>
        </is>
      </c>
      <c r="F229" s="10" t="n"/>
      <c r="G229" s="10" t="n"/>
      <c r="H229" s="11" t="inlineStr">
        <is>
          <t>Pass</t>
        </is>
      </c>
      <c r="I229" s="8" t="inlineStr">
        <is>
          <t>QA 2026-10-14 (by hand, agent-driven): Edit a seeker post with bad input: Pass - "Max budget can't be below min." / "Please add your name." / saved. Name with HTML shows as text on Team up list.</t>
        </is>
      </c>
      <c r="J229" s="8" t="inlineStr">
        <is>
          <t>Flatmate seeker</t>
        </is>
      </c>
      <c r="K229" s="8" t="inlineStr">
        <is>
          <t>Medium</t>
        </is>
      </c>
      <c r="L229" s="8" t="n"/>
      <c r="M229" s="8" t="inlineStr">
        <is>
          <t>Phone</t>
        </is>
      </c>
      <c r="N229" s="8" t="inlineStr">
        <is>
          <t>Manual</t>
        </is>
      </c>
    </row>
    <row r="230">
      <c r="A230" s="8" t="inlineStr">
        <is>
          <t>229</t>
        </is>
      </c>
      <c r="B230" s="8" t="inlineStr">
        <is>
          <t>Privacy</t>
        </is>
      </c>
      <c r="C230" s="9" t="inlineStr">
        <is>
          <t>Old number can sign up again; stand-in number</t>
        </is>
      </c>
      <c r="D230" s="8" t="inlineStr">
        <is>
          <t>Sign in with the erased person's old number, then with the stand-in number</t>
        </is>
      </c>
      <c r="E230" s="8" t="inlineStr">
        <is>
          <t>Old number gets a fresh account; nobody is locked out</t>
        </is>
      </c>
      <c r="F230" s="10" t="n"/>
      <c r="G230" s="10" t="n"/>
      <c r="H230" s="11" t="inlineStr">
        <is>
          <t>Not tested</t>
        </is>
      </c>
      <c r="I230" s="8" t="inlineStr">
        <is>
          <t>RETEST: fixed in code + e2e on 2026-10-15 (QA-B19). Previous result: Fail. QA 2026-10-14 (by hand, agent-driven): Old number can sign up again; stand-in number: Fail - Old number -&gt; new empty account (Pass). Stand-in number locked out - see QA-B19. | QA-B19 (Low). Steps: 1) User requests erasure; admin erases it on /admin/erasure-requests. 2) Look at the users row: mobile becomes a valid 10-digit number starting 99 (here 9989519779). 3) Sign in with 9989519779. Expected: The stand-in value can never match a real phone number (e.g. not a valid mobile format, or a reserved range), so a real person with that number can still sign up. Actual: Sign-in with 9989519779 says "This account is closed. Contact support…". Any real person who owns a pseudonym number is locked out. The code comment says it is "not a reserved range". Environment: Chromium 390x844, lane 2 local. Evidence: signin-try-chromium-390x844-guest-01-signin-9989519779.png; ErasureService.pseudonymMobile</t>
        </is>
      </c>
      <c r="J230" s="8" t="inlineStr">
        <is>
          <t>Guest</t>
        </is>
      </c>
      <c r="K230" s="8" t="inlineStr">
        <is>
          <t>Low</t>
        </is>
      </c>
      <c r="L230" s="8" t="inlineStr">
        <is>
          <t>QA-B19</t>
        </is>
      </c>
      <c r="M230" s="8" t="inlineStr">
        <is>
          <t>Phone</t>
        </is>
      </c>
      <c r="N230" s="8" t="inlineStr">
        <is>
          <t>Manual</t>
        </is>
      </c>
    </row>
    <row r="231">
      <c r="A231" s="8" t="inlineStr">
        <is>
          <t>230</t>
        </is>
      </c>
      <c r="B231" s="8" t="inlineStr">
        <is>
          <t>General – SEO</t>
        </is>
      </c>
      <c r="C231" s="9" t="inlineStr">
        <is>
          <t>Property page share preview and structured data</t>
        </is>
      </c>
      <c r="D231" s="8" t="inlineStr">
        <is>
          <t>Share a property link / read og: tags and JSON-LD</t>
        </is>
      </c>
      <c r="E231" s="8" t="inlineStr">
        <is>
          <t>Preview and structured data describe the listing</t>
        </is>
      </c>
      <c r="F231" s="10" t="n"/>
      <c r="G231" s="10" t="n"/>
      <c r="H231" s="11" t="inlineStr">
        <is>
          <t>Not tested</t>
        </is>
      </c>
      <c r="I231" s="8" t="inlineStr">
        <is>
          <t>RETEST: fixed in code + e2e on 2026-10-15 (QA-B20). Previous result: Fail. QA 2026-10-14 (by hand, agent-driven): Property page share preview and structured data: Fail - See QA-B20 | QA-B20 (Low). Steps: 1) Open /property/p5000 (production build). 2) Read the page head. Expected: og:title / og:description / og:image describe this listing; JSON-LD describes the listing (e.g. RealEstateListing/Offer) so WhatsApp shares and search results show the home. Actual: &lt;title&gt;, meta description, canonical and H1 are listing-specific (good), but og:title is the site-wide "Draazy: Broker-free properties for rent &amp; sale in Pune", og:image is the site image, and JSON-LD is only Organization+WebSite+FAQPage. Environment: Chromium 390x844, guest, vite preview build :5236. Evidence: seo3g output; index.html lines 26-31</t>
        </is>
      </c>
      <c r="J231" s="8" t="inlineStr">
        <is>
          <t>Guest</t>
        </is>
      </c>
      <c r="K231" s="8" t="inlineStr">
        <is>
          <t>Low</t>
        </is>
      </c>
      <c r="L231" s="8" t="inlineStr">
        <is>
          <t>QA-B20</t>
        </is>
      </c>
      <c r="M231" s="8" t="inlineStr">
        <is>
          <t>Both</t>
        </is>
      </c>
      <c r="N231" s="8" t="inlineStr">
        <is>
          <t>Manual</t>
        </is>
      </c>
    </row>
    <row r="232">
      <c r="A232" s="8" t="inlineStr">
        <is>
          <t>231</t>
        </is>
      </c>
      <c r="B232" s="8" t="inlineStr">
        <is>
          <t>Interactions – Animations</t>
        </is>
      </c>
      <c r="C232" s="9" t="inlineStr">
        <is>
          <t>Reduce motion respected</t>
        </is>
      </c>
      <c r="D232" s="8" t="inlineStr">
        <is>
          <t>Turn on reduce motion; open home and the Filters sheet</t>
        </is>
      </c>
      <c r="E232" s="8" t="inlineStr">
        <is>
          <t>Motion removed or reduced</t>
        </is>
      </c>
      <c r="F232" s="10" t="n"/>
      <c r="G232" s="10" t="n"/>
      <c r="H232" s="11" t="inlineStr">
        <is>
          <t>Not tested</t>
        </is>
      </c>
      <c r="I232" s="8" t="inlineStr">
        <is>
          <t>RETEST: fixed in code + e2e on 2026-10-15 (QA-B21). Previous result: Fail. QA 2026-10-14 (by hand, agent-driven): Reduce motion respected: Fail - Sheet transition 0.35 s -&gt; 0 s (good); looping decorations still run - see QA-B21. | QA-B21 (Low). Steps: 1) Turn on Reduce motion in the device settings. 2) Open the home page and scroll to the bottom call-to-action. Expected: Decorative looping motion stops (only essential motion stays). Actual: Four floating shapes in the bottom call-to-action loop forever (ctaFloat1/2, 6-12 s, inline styles bypass the reduced-motion CSS); loading placeholders keep pulsing. Sheets/modals do respect it (0 s transition). Environment: Chromium 390x844, guest, prefers-reduced-motion: reduce. Evidence: motion2 output; CtaSection.jsx lines 10-13</t>
        </is>
      </c>
      <c r="J232" s="8" t="inlineStr">
        <is>
          <t>Guest</t>
        </is>
      </c>
      <c r="K232" s="8" t="inlineStr">
        <is>
          <t>Low</t>
        </is>
      </c>
      <c r="L232" s="8" t="inlineStr">
        <is>
          <t>QA-B21</t>
        </is>
      </c>
      <c r="M232" s="8" t="inlineStr">
        <is>
          <t>Phone</t>
        </is>
      </c>
      <c r="N232" s="8" t="inlineStr">
        <is>
          <t>Manual</t>
        </is>
      </c>
    </row>
    <row r="233">
      <c r="A233" s="8" t="inlineStr">
        <is>
          <t>232</t>
        </is>
      </c>
      <c r="B233" s="8" t="inlineStr">
        <is>
          <t>Layout – Desktop</t>
        </is>
      </c>
      <c r="C233" s="9" t="inlineStr">
        <is>
          <t>Admin menu and header stay in place on a long page</t>
        </is>
      </c>
      <c r="D233" s="8" t="inlineStr">
        <is>
          <t>Admin at 1366x768 and Firefox 1920x1080: scroll /admin/properties to the bottom, then scroll the side menu to its last item</t>
        </is>
      </c>
      <c r="E233" s="8" t="inlineStr">
        <is>
          <t>Menu and header stay fixed; menu scrolls on its own; last item (Error log) visible and clickable</t>
        </is>
      </c>
      <c r="F233" s="10" t="n"/>
      <c r="G233" s="10" t="n"/>
      <c r="H233" s="11" t="inlineStr">
        <is>
          <t>Pass</t>
        </is>
      </c>
      <c r="I233" s="8" t="inlineStr">
        <is>
          <t>QA 2026-10-14 (by hand, agent-driven): Admin menu and header stay in place on a long page: Pass - 31 menu items; page scrollY unchanged while the menu scrolled; last item tappable.</t>
        </is>
      </c>
      <c r="J233" s="8" t="inlineStr">
        <is>
          <t>Admin</t>
        </is>
      </c>
      <c r="K233" s="8" t="inlineStr">
        <is>
          <t>Medium</t>
        </is>
      </c>
      <c r="L233" s="8" t="n"/>
      <c r="M233" s="8" t="inlineStr">
        <is>
          <t>Desktop</t>
        </is>
      </c>
      <c r="N233" s="8" t="inlineStr">
        <is>
          <t>Manual</t>
        </is>
      </c>
    </row>
    <row r="234">
      <c r="A234" s="8" t="inlineStr">
        <is>
          <t>233</t>
        </is>
      </c>
      <c r="B234" s="8" t="inlineStr">
        <is>
          <t>Interactions – Scrolling</t>
        </is>
      </c>
      <c r="C234" s="9" t="inlineStr">
        <is>
          <t>Property photo gallery</t>
        </is>
      </c>
      <c r="D234" s="8" t="inlineStr">
        <is>
          <t>Desktop: Next arrow, click photo to open full view, ArrowRight, Esc. Phone: swipe left on the photo</t>
        </is>
      </c>
      <c r="E234" s="8" t="inlineStr">
        <is>
          <t>Counter moves 1/6 -&gt; 2/6; full view opens, arrow keys move, Esc closes; page behind does not scroll</t>
        </is>
      </c>
      <c r="F234" s="10" t="n"/>
      <c r="G234" s="10" t="n"/>
      <c r="H234" s="11" t="inlineStr">
        <is>
          <t>Pass</t>
        </is>
      </c>
      <c r="I234" s="8" t="inlineStr">
        <is>
          <t>QA 2026-10-14 (by hand, agent-driven): Property photo gallery: Pass - Desktop next 1/6-&gt;2/6, lightbox opened, ArrowRight moved, background did not scroll, Esc closed. Phone touch swipe 1/6-&gt;2/6.</t>
        </is>
      </c>
      <c r="J234" s="8" t="inlineStr">
        <is>
          <t>Guest</t>
        </is>
      </c>
      <c r="K234" s="8" t="inlineStr">
        <is>
          <t>Medium</t>
        </is>
      </c>
      <c r="L234" s="8" t="n"/>
      <c r="M234" s="8" t="inlineStr">
        <is>
          <t>Both</t>
        </is>
      </c>
      <c r="N234" s="8" t="inlineStr">
        <is>
          <t>Manual</t>
        </is>
      </c>
    </row>
    <row r="235">
      <c r="A235" s="8" t="inlineStr">
        <is>
          <t>234</t>
        </is>
      </c>
      <c r="B235" s="8" t="inlineStr">
        <is>
          <t>Interactions – Selections</t>
        </is>
      </c>
      <c r="C235" s="9" t="inlineStr">
        <is>
          <t>Range sliders: keyboard and drag</t>
        </is>
      </c>
      <c r="D235" s="8" t="inlineStr">
        <is>
          <t>On /listings (desktop) focus a slider and press arrows; drag a thumb</t>
        </is>
      </c>
      <c r="E235" s="8" t="inlineStr">
        <is>
          <t>Value changes and results/URL follow; slider has a label</t>
        </is>
      </c>
      <c r="F235" s="10" t="n"/>
      <c r="G235" s="10" t="n"/>
      <c r="H235" s="11" t="inlineStr">
        <is>
          <t>Pass</t>
        </is>
      </c>
      <c r="I235" s="8" t="inlineStr">
        <is>
          <t>QA 2026-10-14 (by hand, agent-driven): Range sliders: keyboard and drag: Pass - Floor max 40-&gt;32 with arrows (URL floor=0-32); Budget min dragged 0-&gt;27,000,000; labels "Floor Number maximum", "Budget Range minimum".</t>
        </is>
      </c>
      <c r="J235" s="8" t="inlineStr">
        <is>
          <t>Guest</t>
        </is>
      </c>
      <c r="K235" s="8" t="inlineStr">
        <is>
          <t>Medium</t>
        </is>
      </c>
      <c r="L235" s="8" t="n"/>
      <c r="M235" s="8" t="inlineStr">
        <is>
          <t>Desktop</t>
        </is>
      </c>
      <c r="N235" s="8" t="inlineStr">
        <is>
          <t>Manual</t>
        </is>
      </c>
    </row>
    <row r="236">
      <c r="A236" s="8" t="inlineStr">
        <is>
          <t>235</t>
        </is>
      </c>
      <c r="B236" s="8" t="inlineStr">
        <is>
          <t>Interactions – Scrolling</t>
        </is>
      </c>
      <c r="C236" s="9" t="inlineStr">
        <is>
          <t>Sheet locks the page behind it</t>
        </is>
      </c>
      <c r="D236" s="8" t="inlineStr">
        <is>
          <t>Open the Filters sheet on Flatmates (phone) and try to scroll</t>
        </is>
      </c>
      <c r="E236" s="8" t="inlineStr">
        <is>
          <t>Only the sheet scrolls</t>
        </is>
      </c>
      <c r="F236" s="10" t="n"/>
      <c r="G236" s="10" t="n"/>
      <c r="H236" s="11" t="inlineStr">
        <is>
          <t>Pass</t>
        </is>
      </c>
      <c r="I236" s="8" t="inlineStr">
        <is>
          <t>QA 2026-10-14 (by hand, agent-driven): Sheet locks the page behind it: Pass - body/html overflow = clip while open.</t>
        </is>
      </c>
      <c r="J236" s="8" t="inlineStr">
        <is>
          <t>Guest</t>
        </is>
      </c>
      <c r="K236" s="8" t="inlineStr">
        <is>
          <t>Medium</t>
        </is>
      </c>
      <c r="L236" s="8" t="n"/>
      <c r="M236" s="8" t="inlineStr">
        <is>
          <t>Phone</t>
        </is>
      </c>
      <c r="N236" s="8" t="inlineStr">
        <is>
          <t>Manual</t>
        </is>
      </c>
    </row>
    <row r="237">
      <c r="A237" s="8" t="inlineStr">
        <is>
          <t>236</t>
        </is>
      </c>
      <c r="B237" s="8" t="inlineStr">
        <is>
          <t>Layout – Phone</t>
        </is>
      </c>
      <c r="C237" s="9" t="inlineStr">
        <is>
          <t>Landscape phone: Filters sheet</t>
        </is>
      </c>
      <c r="D237" s="8" t="inlineStr">
        <is>
          <t>Rotate to 844x390, open Filters on Flatmates</t>
        </is>
      </c>
      <c r="E237" s="8" t="inlineStr">
        <is>
          <t>Header, options and the Show results button all fit; nothing cut off</t>
        </is>
      </c>
      <c r="F237" s="10" t="n"/>
      <c r="G237" s="10" t="n"/>
      <c r="H237" s="11" t="inlineStr">
        <is>
          <t>Pass</t>
        </is>
      </c>
      <c r="I237" s="8" t="inlineStr">
        <is>
          <t>QA 2026-10-14 (by hand, agent-driven): Landscape phone: Filters sheet: Pass - Sheet fits 390 px height with fixed Clear / Show buttons.</t>
        </is>
      </c>
      <c r="J237" s="8" t="inlineStr">
        <is>
          <t>Guest</t>
        </is>
      </c>
      <c r="K237" s="8" t="inlineStr">
        <is>
          <t>Medium</t>
        </is>
      </c>
      <c r="L237" s="8" t="n"/>
      <c r="M237" s="8" t="inlineStr">
        <is>
          <t>Phone</t>
        </is>
      </c>
      <c r="N237" s="8" t="inlineStr">
        <is>
          <t>Manual</t>
        </is>
      </c>
    </row>
    <row r="238">
      <c r="A238" s="8" t="inlineStr">
        <is>
          <t>237</t>
        </is>
      </c>
      <c r="B238" s="8" t="inlineStr">
        <is>
          <t>Layout – Phone</t>
        </is>
      </c>
      <c r="C238" s="9" t="inlineStr">
        <is>
          <t>No sideways scrolling on public pages</t>
        </is>
      </c>
      <c r="D238" s="8" t="inlineStr">
        <is>
          <t>Open 15 public pages at 390x844 and tap every visible control</t>
        </is>
      </c>
      <c r="E238" s="8" t="inlineStr">
        <is>
          <t>No horizontal scroll; every control responds</t>
        </is>
      </c>
      <c r="F238" s="10" t="n"/>
      <c r="G238" s="10" t="n"/>
      <c r="H238" s="11" t="inlineStr">
        <is>
          <t>Pass</t>
        </is>
      </c>
      <c r="I238" s="8" t="inlineStr">
        <is>
          <t>QA 2026-10-14 (by hand, agent-driven): No sideways scrolling on public pages: Pass - Automated click-all over 327 controls on 15 pages + screenshot review: no horizontal scroll on any page. 64 clicks timed out on controls hidden inside collapsed filter panels (sweep artefact, not app).</t>
        </is>
      </c>
      <c r="J238" s="8" t="inlineStr">
        <is>
          <t>Guest</t>
        </is>
      </c>
      <c r="K238" s="8" t="inlineStr">
        <is>
          <t>Medium</t>
        </is>
      </c>
      <c r="L238" s="8" t="n"/>
      <c r="M238" s="8" t="inlineStr">
        <is>
          <t>Phone</t>
        </is>
      </c>
      <c r="N238" s="8" t="inlineStr">
        <is>
          <t>Both</t>
        </is>
      </c>
    </row>
    <row r="239">
      <c r="A239" s="8" t="inlineStr">
        <is>
          <t>238</t>
        </is>
      </c>
      <c r="B239" s="8" t="inlineStr">
        <is>
          <t>Layout – Desktop</t>
        </is>
      </c>
      <c r="C239" s="9" t="inlineStr">
        <is>
          <t>No overflow on public pages (desktop)</t>
        </is>
      </c>
      <c r="D239" s="8" t="inlineStr">
        <is>
          <t>Open 15 public pages at 1366x768 and click every visible control</t>
        </is>
      </c>
      <c r="E239" s="8" t="inlineStr">
        <is>
          <t>No horizontal scroll; every control responds</t>
        </is>
      </c>
      <c r="F239" s="10" t="n"/>
      <c r="G239" s="10" t="n"/>
      <c r="H239" s="11" t="inlineStr">
        <is>
          <t>Pass</t>
        </is>
      </c>
      <c r="I239" s="8" t="inlineStr">
        <is>
          <t>QA 2026-10-14 (by hand, agent-driven): No overflow on public pages (desktop): Pass - 350 controls; no horizontal scroll. /contact logs a 401 to the console for a guest (harmless, page works).</t>
        </is>
      </c>
      <c r="J239" s="8" t="inlineStr">
        <is>
          <t>Guest</t>
        </is>
      </c>
      <c r="K239" s="8" t="inlineStr">
        <is>
          <t>Medium</t>
        </is>
      </c>
      <c r="L239" s="8" t="n"/>
      <c r="M239" s="8" t="inlineStr">
        <is>
          <t>Desktop</t>
        </is>
      </c>
      <c r="N239" s="8" t="inlineStr">
        <is>
          <t>Both</t>
        </is>
      </c>
    </row>
    <row r="240">
      <c r="A240" s="8" t="inlineStr">
        <is>
          <t>239</t>
        </is>
      </c>
      <c r="B240" s="8" t="inlineStr">
        <is>
          <t>Layout – Phone</t>
        </is>
      </c>
      <c r="C240" s="9" t="inlineStr">
        <is>
          <t>Dashboard section tabs on a small phone</t>
        </is>
      </c>
      <c r="D240" s="8" t="inlineStr">
        <is>
          <t>Sign in as an owner who also rents, open Dashboard at 360x640, read every tab and tap the last one (Account)</t>
        </is>
      </c>
      <c r="E240" s="8" t="inlineStr">
        <is>
          <t>All tabs fully readable; the last tab opens</t>
        </is>
      </c>
      <c r="F240" s="10" t="n"/>
      <c r="G240" s="10" t="n"/>
      <c r="H240" s="11" t="inlineStr">
        <is>
          <t>Not tested</t>
        </is>
      </c>
      <c r="I240" s="8" t="inlineStr">
        <is>
          <t>RETEST: fixed in code + e2e on 2026-10-15 (QA-B22). Previous result: Fail. QA 2026-10-14 (by hand, agent-driven): Dashboard section tabs on a small phone: Fail - Steps: sign in 9700000002 (owner+tenant), open /dashboard at 360x640 Chromium. Expected: 5 tab labels readable. Actual: "My Properties" shows as "My Propertie" (clipped). Tapping Account works (/dashboard#profile). Evidence: dash-nav-chromium-360x640-9700000002-01-dash.png | QA-B22 (Low). Steps: Sign in as an owner who also rents (9700000002); open /dashboard on a 360x640 phone; read the section tabs. Expected: Every tab label (Home, Requests, My Properties, Rental, Account) is fully readable. Actual: "My Properties" is cut to "My Propertie"; the 61px tab is too narrow. Environment: Chromium (Playwright, agent-driven) 360x640, Owner+Tenant, local lane 2. Evidence: dash-nav-chromium-360x640-9700000002-01-dash.png; tab is 61px wide, label overflows its box. Owner+tenant account 9700000002, Chromium 360x640.</t>
        </is>
      </c>
      <c r="J240" s="8" t="inlineStr">
        <is>
          <t>Owner, Tenant</t>
        </is>
      </c>
      <c r="K240" s="8" t="inlineStr">
        <is>
          <t>Low</t>
        </is>
      </c>
      <c r="L240" s="8" t="inlineStr">
        <is>
          <t>QA-B22</t>
        </is>
      </c>
      <c r="M240" s="8" t="inlineStr">
        <is>
          <t>Phone</t>
        </is>
      </c>
      <c r="N240" s="8" t="inlineStr">
        <is>
          <t>Manual</t>
        </is>
      </c>
    </row>
    <row r="241">
      <c r="A241" s="8" t="inlineStr">
        <is>
          <t>240</t>
        </is>
      </c>
      <c r="B241" s="8" t="inlineStr">
        <is>
          <t>Layout – Desktop</t>
        </is>
      </c>
      <c r="C241" s="9" t="inlineStr">
        <is>
          <t>Consumer header and account menu on desktop</t>
        </is>
      </c>
      <c r="D241" s="8" t="inlineStr">
        <is>
          <t>Sign in as owner at 1366x768 and 1920x1080, scroll a long page, open the account menu, press Esc, Tab through the header</t>
        </is>
      </c>
      <c r="E241" s="8" t="inlineStr">
        <is>
          <t>Header stays fixed; menu opens, last item (Log out) can be clicked, Esc closes; every Tab stop shows a focus ring</t>
        </is>
      </c>
      <c r="F241" s="10" t="n"/>
      <c r="G241" s="10" t="n"/>
      <c r="H241" s="11" t="inlineStr">
        <is>
          <t>Pass</t>
        </is>
      </c>
      <c r="I241" s="8" t="inlineStr">
        <is>
          <t>QA 2026-10-14 (by hand, agent-driven): Consumer header and account menu on desktop: Pass - Chromium 1366 + Firefox 1920: header position fixed at top 0; Log out hit-tested; Esc closes; 12 header Tab stops all show a ring. Desktop header has Buy/Rent/Services but no Flatmates link (phone has it in the bottom nav) - observation for the product owner.</t>
        </is>
      </c>
      <c r="J241" s="8" t="inlineStr">
        <is>
          <t>Owner</t>
        </is>
      </c>
      <c r="K241" s="8" t="inlineStr">
        <is>
          <t>Medium</t>
        </is>
      </c>
      <c r="L241" s="8" t="n"/>
      <c r="M241" s="8" t="inlineStr">
        <is>
          <t>Desktop</t>
        </is>
      </c>
      <c r="N241" s="8" t="inlineStr">
        <is>
          <t>Manual</t>
        </is>
      </c>
    </row>
    <row r="242">
      <c r="A242" s="8" t="inlineStr">
        <is>
          <t>241</t>
        </is>
      </c>
      <c r="B242" s="8" t="inlineStr">
        <is>
          <t>Layout – Desktop</t>
        </is>
      </c>
      <c r="C242" s="9" t="inlineStr">
        <is>
          <t>Every back-office module opens on desktop</t>
        </is>
      </c>
      <c r="D242" s="8" t="inlineStr">
        <is>
          <t>Sign in as admin at 1366x768 and open each of the 29 menu items</t>
        </is>
      </c>
      <c r="E242" s="8" t="inlineStr">
        <is>
          <t>Each opens the right page with its heading, no errors, no sideways scroll</t>
        </is>
      </c>
      <c r="F242" s="10" t="n"/>
      <c r="G242" s="10" t="n"/>
      <c r="H242" s="11" t="inlineStr">
        <is>
          <t>Pass</t>
        </is>
      </c>
      <c r="I242" s="8" t="inlineStr">
        <is>
          <t>QA 2026-10-14 (by hand, agent-driven): Every back-office module opens on desktop: Pass - 29/29 modules correct h1, no console errors, no horizontal scroll; contact sheet reviewed (sheets\deskmods.png).</t>
        </is>
      </c>
      <c r="J242" s="8" t="inlineStr">
        <is>
          <t>Admin</t>
        </is>
      </c>
      <c r="K242" s="8" t="inlineStr">
        <is>
          <t>Medium</t>
        </is>
      </c>
      <c r="L242" s="8" t="n"/>
      <c r="M242" s="8" t="inlineStr">
        <is>
          <t>Desktop</t>
        </is>
      </c>
      <c r="N242" s="8" t="inlineStr">
        <is>
          <t>Manual</t>
        </is>
      </c>
    </row>
    <row r="243">
      <c r="A243" s="8" t="inlineStr">
        <is>
          <t>242</t>
        </is>
      </c>
      <c r="B243" s="8" t="inlineStr">
        <is>
          <t>Layout – Phone</t>
        </is>
      </c>
      <c r="C243" s="9" t="inlineStr">
        <is>
          <t>Staff menu on a phone: last item reachable</t>
        </is>
      </c>
      <c r="D243" s="8" t="inlineStr">
        <is>
          <t>Sign in as rental staff at 390x844, open the menu, scroll to the last item and tap it; repeat in landscape; open every module</t>
        </is>
      </c>
      <c r="E243" s="8" t="inlineStr">
        <is>
          <t>Every item can be scrolled to and tapped; each module opens</t>
        </is>
      </c>
      <c r="F243" s="10" t="n"/>
      <c r="G243" s="10" t="n"/>
      <c r="H243" s="11" t="inlineStr">
        <is>
          <t>Pass</t>
        </is>
      </c>
      <c r="I243" s="8" t="inlineStr">
        <is>
          <t>QA 2026-10-14 (by hand, agent-driven): Staff menu on a phone: last item reachable: Pass - 14 items; last item "Places" tapped -&gt; /staff/places, menu closes; landscape 844x390 last item reachable; all 14 modules open with no errors.</t>
        </is>
      </c>
      <c r="J243" s="8" t="inlineStr">
        <is>
          <t>Staff</t>
        </is>
      </c>
      <c r="K243" s="8" t="inlineStr">
        <is>
          <t>Medium</t>
        </is>
      </c>
      <c r="L243" s="8" t="n"/>
      <c r="M243" s="8" t="inlineStr">
        <is>
          <t>Phone</t>
        </is>
      </c>
      <c r="N243" s="8" t="inlineStr">
        <is>
          <t>Manual</t>
        </is>
      </c>
    </row>
    <row r="244">
      <c r="A244" s="8" t="inlineStr">
        <is>
          <t>243</t>
        </is>
      </c>
      <c r="B244" s="8" t="inlineStr">
        <is>
          <t>Interactions – Animations</t>
        </is>
      </c>
      <c r="C244" s="9" t="inlineStr">
        <is>
          <t>Hover effects on desktop</t>
        </is>
      </c>
      <c r="D244" s="8" t="inlineStr">
        <is>
          <t>Hover over property cards, buttons and menu items at 1366x768</t>
        </is>
      </c>
      <c r="E244" s="8" t="inlineStr">
        <is>
          <t>A visible hover change on each</t>
        </is>
      </c>
      <c r="F244" s="10" t="n"/>
      <c r="G244" s="10" t="n"/>
      <c r="H244" s="11" t="inlineStr">
        <is>
          <t>Pass</t>
        </is>
      </c>
      <c r="I244" s="8" t="inlineStr">
        <is>
          <t>QA 2026-10-15 guest at 1366: pointer hover gives a visible change on home property card (shadow + photo zoom), listing card on /listings?deal=rent (shadow + photo zoom), Save heart (colour), top menu link (colour), Post property and Sign in buttons (lift + shadow), Services tile (lift + border). Keyboard Tab from page top shows a focus outline on every stop (Skip to content, logo, city, Buy, Rent, Services, Post property, Sign in, search box).</t>
        </is>
      </c>
      <c r="J244" s="8" t="inlineStr">
        <is>
          <t>Guest</t>
        </is>
      </c>
      <c r="K244" s="8" t="inlineStr">
        <is>
          <t>Medium</t>
        </is>
      </c>
      <c r="L244" s="8" t="n"/>
      <c r="M244" s="8" t="inlineStr">
        <is>
          <t>Desktop</t>
        </is>
      </c>
      <c r="N244" s="8" t="inlineStr">
        <is>
          <t>Manual</t>
        </is>
      </c>
    </row>
    <row r="245">
      <c r="A245" s="8" t="inlineStr">
        <is>
          <t>244</t>
        </is>
      </c>
      <c r="B245" s="8" t="inlineStr">
        <is>
          <t>Layout – Phone</t>
        </is>
      </c>
      <c r="C245" s="9" t="inlineStr">
        <is>
          <t>Consumer header and account menu on a phone</t>
        </is>
      </c>
      <c r="D245" s="8" t="inlineStr">
        <is>
          <t>Sign in as an owner on a 360x640 phone, open the account menu, scroll to the last item (Log out) and check it can be tapped; turn the phone sideways and repeat; press Esc</t>
        </is>
      </c>
      <c r="E245" s="8" t="inlineStr">
        <is>
          <t>Every menu item can be reached and tapped in portrait and landscape; Esc closes the menu</t>
        </is>
      </c>
      <c r="F245" s="10" t="inlineStr">
        <is>
          <t>Open</t>
        </is>
      </c>
      <c r="G245" s="10" t="n"/>
      <c r="H245" s="11" t="inlineStr">
        <is>
          <t>Pass</t>
        </is>
      </c>
      <c r="I245" s="8" t="inlineStr">
        <is>
          <t>QA 2026-10-14 (by hand, agent-driven): Portrait and landscape: Log out reachable and hit-tested; Esc closes.</t>
        </is>
      </c>
      <c r="J245" s="8" t="inlineStr">
        <is>
          <t>Owner</t>
        </is>
      </c>
      <c r="K245" s="8" t="inlineStr">
        <is>
          <t>High</t>
        </is>
      </c>
      <c r="L245" s="8" t="n"/>
      <c r="M245" s="8" t="inlineStr">
        <is>
          <t>Phone</t>
        </is>
      </c>
      <c r="N245" s="8" t="inlineStr">
        <is>
          <t>Manual</t>
        </is>
      </c>
    </row>
    <row r="246">
      <c r="A246" s="8" t="inlineStr">
        <is>
          <t>245</t>
        </is>
      </c>
      <c r="B246" s="8" t="inlineStr">
        <is>
          <t>Layout – Phone</t>
        </is>
      </c>
      <c r="C246" s="9" t="inlineStr">
        <is>
          <t>Bottom navigation bar on a phone</t>
        </is>
      </c>
      <c r="D246" s="8" t="inlineStr">
        <is>
          <t>On a 360x640 phone tap Reels, Search, Flatmates, Services and the centre +; then scroll a long listings page</t>
        </is>
      </c>
      <c r="E246" s="8" t="inlineStr">
        <is>
          <t>Each tab opens the right page; + opens the post chooser; the bar stays on screen and does not cover the last item</t>
        </is>
      </c>
      <c r="F246" s="10" t="inlineStr">
        <is>
          <t>Open</t>
        </is>
      </c>
      <c r="G246" s="10" t="n"/>
      <c r="H246" s="11" t="inlineStr">
        <is>
          <t>Pass</t>
        </is>
      </c>
      <c r="I246" s="8" t="inlineStr">
        <is>
          <t>QA 2026-10-14 (by hand, agent-driven): All four tabs route correctly; + opens the chooser; bar stays visible while scrolling.</t>
        </is>
      </c>
      <c r="J246" s="8" t="inlineStr">
        <is>
          <t>Guest, Owner</t>
        </is>
      </c>
      <c r="K246" s="8" t="inlineStr">
        <is>
          <t>High</t>
        </is>
      </c>
      <c r="L246" s="8" t="n"/>
      <c r="M246" s="8" t="inlineStr">
        <is>
          <t>Phone</t>
        </is>
      </c>
      <c r="N246" s="8" t="inlineStr">
        <is>
          <t>Manual</t>
        </is>
      </c>
    </row>
    <row r="247">
      <c r="A247" s="8" t="inlineStr">
        <is>
          <t>246</t>
        </is>
      </c>
      <c r="B247" s="8" t="inlineStr">
        <is>
          <t>Layout – Phone</t>
        </is>
      </c>
      <c r="C247" s="9" t="inlineStr">
        <is>
          <t>Admin menu on a phone: every section can be scrolled to and tapped</t>
        </is>
      </c>
      <c r="D247" s="8" t="inlineStr">
        <is>
          <t>Sign in as admin on a 360x640 phone, open the menu, scroll to the last item (Error log) and tap it; repeat in landscape</t>
        </is>
      </c>
      <c r="E247" s="8" t="inlineStr">
        <is>
          <t>All 31 items can be reached and tapped; the menu closes after tapping</t>
        </is>
      </c>
      <c r="F247" s="10" t="inlineStr">
        <is>
          <t>Open</t>
        </is>
      </c>
      <c r="G247" s="10" t="n"/>
      <c r="H247" s="11" t="inlineStr">
        <is>
          <t>Pass</t>
        </is>
      </c>
      <c r="I247" s="8" t="inlineStr">
        <is>
          <t>QA 2026-10-14 (by hand, agent-driven): Portrait and 640x360 landscape: last item "Error log" reached and tapped; all 29 modules open with their heading, no errors.</t>
        </is>
      </c>
      <c r="J247" s="8" t="inlineStr">
        <is>
          <t>Admin</t>
        </is>
      </c>
      <c r="K247" s="8" t="inlineStr">
        <is>
          <t>High</t>
        </is>
      </c>
      <c r="L247" s="8" t="n"/>
      <c r="M247" s="8" t="inlineStr">
        <is>
          <t>Phone</t>
        </is>
      </c>
      <c r="N247" s="8" t="inlineStr">
        <is>
          <t>Manual</t>
        </is>
      </c>
    </row>
    <row r="248">
      <c r="A248" s="8" t="inlineStr">
        <is>
          <t>247</t>
        </is>
      </c>
      <c r="B248" s="8" t="inlineStr">
        <is>
          <t>Layout – Phone</t>
        </is>
      </c>
      <c r="C248" s="9" t="inlineStr">
        <is>
          <t>Sheets and pop-ups on a phone (contact, visit, filters, report)</t>
        </is>
      </c>
      <c r="D248" s="8" t="inlineStr">
        <is>
          <t>On a 390x844 phone open each sheet, scroll to its last button and tap it, then close it with the X and with Esc</t>
        </is>
      </c>
      <c r="E248" s="8" t="inlineStr">
        <is>
          <t>Nothing covers the sheet; the last button can be tapped; the page behind does not scroll</t>
        </is>
      </c>
      <c r="F248" s="10" t="inlineStr">
        <is>
          <t>Open</t>
        </is>
      </c>
      <c r="G248" s="10" t="n"/>
      <c r="H248" s="11" t="inlineStr">
        <is>
          <t>Not tested</t>
        </is>
      </c>
      <c r="I248" s="8" t="inlineStr">
        <is>
          <t>RETEST: fixed in code + e2e on 2026-10-15 (QA-B04). Previous result: Fail. QA 2026-10-14 (by hand, agent-driven): QA-B04 (Medium). Steps: At 360x640/390x844 sign in, open the account menu; or open a property and tap Contact Owner or Visit Expected: While the account menu (a modal drawer) is open, the page behind and its floating buttons are covered by the dim overlay. Actual: The Ask Draaz button stays above the account drawer (covers Profile &amp; Settings / Plan &amp; Billing rows in landscape), the "Contact the owner" sheet (covers the right edge of the Verify identity hint and quick-message box) and the "Schedule a Visit" sheet (covers the message box). The user can still tap around it but text and fields are hidden. Environment: Chromium 360x640 (portrait and landscape) and 390x844, Owner and Buyer. Evidence: consumer-shell acct-open shots; click-all-chromium-390x844-9152892152-24/25 dialog shots; also covers the Report this listing sheet (390x844, steps-chromium-390x844-9152892152-05-step5.png); also /messages at 1366x768: Ask Draaz button sits on the Send button of the chat box (look-chromium-1366x768-9700000031-01-look__messages_*.png). Enter still sends.</t>
        </is>
      </c>
      <c r="J248" s="8" t="inlineStr">
        <is>
          <t>Guest, Buyer, Flatmate seeker</t>
        </is>
      </c>
      <c r="K248" s="8" t="inlineStr">
        <is>
          <t>Medium</t>
        </is>
      </c>
      <c r="L248" s="8" t="inlineStr">
        <is>
          <t>QA-B04</t>
        </is>
      </c>
      <c r="M248" s="8" t="inlineStr">
        <is>
          <t>Phone</t>
        </is>
      </c>
      <c r="N248" s="8" t="inlineStr">
        <is>
          <t>Manual</t>
        </is>
      </c>
    </row>
    <row r="249">
      <c r="A249" s="8" t="inlineStr">
        <is>
          <t>248</t>
        </is>
      </c>
      <c r="B249" s="8" t="inlineStr">
        <is>
          <t>Layout – Phone</t>
        </is>
      </c>
      <c r="C249" s="9" t="inlineStr">
        <is>
          <t>Help centre layout on a phone</t>
        </is>
      </c>
      <c r="D249" s="8" t="inlineStr">
        <is>
          <t>Open the Help centre on a 390x844 phone, open a category and an article, use the search box</t>
        </is>
      </c>
      <c r="E249" s="8" t="inlineStr">
        <is>
          <t>Text fits, the article menu can be scrolled, nothing is cut off</t>
        </is>
      </c>
      <c r="F249" s="10" t="inlineStr">
        <is>
          <t>Open</t>
        </is>
      </c>
      <c r="G249" s="10" t="n"/>
      <c r="H249" s="11" t="inlineStr">
        <is>
          <t>Not tested</t>
        </is>
      </c>
      <c r="I249" s="8" t="inlineStr">
        <is>
          <t>RETEST: fixed in code + e2e on 2026-10-15 (QA-B58). Previous result: Fail. QA 2026-10-15 guest at 390 and 360: Help home, category (3 articles) and article fit with no sideways scroll; search works (row 34). The Topics drawer list scrolls to its last article, but its footer links FAQ / Changelog / Contact support are covered by the bottom nav and cannot be tapped (QA-B58); Ask Draaz button floats over the drawer.</t>
        </is>
      </c>
      <c r="J249" s="8" t="inlineStr">
        <is>
          <t>Guest</t>
        </is>
      </c>
      <c r="K249" s="8" t="inlineStr">
        <is>
          <t>Medium</t>
        </is>
      </c>
      <c r="L249" s="8" t="inlineStr">
        <is>
          <t>QA-B58</t>
        </is>
      </c>
      <c r="M249" s="8" t="inlineStr">
        <is>
          <t>Phone</t>
        </is>
      </c>
      <c r="N249" s="8" t="inlineStr">
        <is>
          <t>Manual</t>
        </is>
      </c>
    </row>
    <row r="250">
      <c r="A250" s="8" t="inlineStr">
        <is>
          <t>249</t>
        </is>
      </c>
      <c r="B250" s="8" t="inlineStr">
        <is>
          <t>Layout – Phone</t>
        </is>
      </c>
      <c r="C250" s="9" t="inlineStr">
        <is>
          <t>Sign-in and staff login screens on a phone</t>
        </is>
      </c>
      <c r="D250" s="8" t="inlineStr">
        <is>
          <t>Sign in with a mobile number and OTP on a 360x640 phone; open the staff login</t>
        </is>
      </c>
      <c r="E250" s="8" t="inlineStr">
        <is>
          <t>Keyboard does not hide the OTP boxes or the button; the bot check loads</t>
        </is>
      </c>
      <c r="F250" s="10" t="inlineStr">
        <is>
          <t>Open</t>
        </is>
      </c>
      <c r="G250" s="10" t="n"/>
      <c r="H250" s="11" t="inlineStr">
        <is>
          <t>Pass</t>
        </is>
      </c>
      <c r="I250" s="8" t="inlineStr">
        <is>
          <t>QA 2026-10-14 (by hand, agent-driven): Used for every phone sign-in in this pass at 360 and 390; Turnstile widget loads under CSP.</t>
        </is>
      </c>
      <c r="J250" s="8" t="inlineStr">
        <is>
          <t>Guest, Staff</t>
        </is>
      </c>
      <c r="K250" s="8" t="inlineStr">
        <is>
          <t>High</t>
        </is>
      </c>
      <c r="L250" s="8" t="n"/>
      <c r="M250" s="8" t="inlineStr">
        <is>
          <t>Phone</t>
        </is>
      </c>
      <c r="N250" s="8" t="inlineStr">
        <is>
          <t>Manual</t>
        </is>
      </c>
    </row>
    <row r="251">
      <c r="A251" s="8" t="inlineStr">
        <is>
          <t>250</t>
        </is>
      </c>
      <c r="B251" s="8" t="inlineStr">
        <is>
          <t>Layout – Desktop</t>
        </is>
      </c>
      <c r="C251" s="9" t="inlineStr">
        <is>
          <t>Dashboard side menu on desktop</t>
        </is>
      </c>
      <c r="D251" s="8" t="inlineStr">
        <is>
          <t>Sign in as an owner who also rents at 1366x768 and open each dashboard group</t>
        </is>
      </c>
      <c r="E251" s="8" t="inlineStr">
        <is>
          <t>Owner sees Home/Requests/My Properties/Account; a tenant also sees Rental; each opens</t>
        </is>
      </c>
      <c r="F251" s="10" t="inlineStr">
        <is>
          <t>Open</t>
        </is>
      </c>
      <c r="G251" s="10" t="n"/>
      <c r="H251" s="11" t="inlineStr">
        <is>
          <t>Pass</t>
        </is>
      </c>
      <c r="I251" s="8" t="inlineStr">
        <is>
          <t>QA 2026-10-14 (by hand, agent-driven): Account sweep at 1366 for owner, tenant, buyer and flatmate host: groups correct, no errors.</t>
        </is>
      </c>
      <c r="J251" s="8" t="inlineStr">
        <is>
          <t>Owner, Tenant, Buyer</t>
        </is>
      </c>
      <c r="K251" s="8" t="inlineStr">
        <is>
          <t>Medium</t>
        </is>
      </c>
      <c r="L251" s="8" t="n"/>
      <c r="M251" s="8" t="inlineStr">
        <is>
          <t>Desktop</t>
        </is>
      </c>
      <c r="N251" s="8" t="inlineStr">
        <is>
          <t>Manual</t>
        </is>
      </c>
    </row>
    <row r="252">
      <c r="A252" s="8" t="inlineStr">
        <is>
          <t>251</t>
        </is>
      </c>
      <c r="B252" s="8" t="inlineStr">
        <is>
          <t>Layout – Desktop</t>
        </is>
      </c>
      <c r="C252" s="9" t="inlineStr">
        <is>
          <t>Sheets and pop-ups on desktop</t>
        </is>
      </c>
      <c r="D252" s="8" t="inlineStr">
        <is>
          <t>At 1366x768 open the contact, visit and chat screens and use every button</t>
        </is>
      </c>
      <c r="E252" s="8" t="inlineStr">
        <is>
          <t>Nothing floats over the buttons</t>
        </is>
      </c>
      <c r="F252" s="10" t="inlineStr">
        <is>
          <t>Open</t>
        </is>
      </c>
      <c r="G252" s="10" t="n"/>
      <c r="H252" s="11" t="inlineStr">
        <is>
          <t>Not tested</t>
        </is>
      </c>
      <c r="I252" s="8" t="inlineStr">
        <is>
          <t>RETEST: fixed in code + e2e on 2026-10-15 (QA-B04, QA-B06). Previous result: Fail. QA 2026-10-14 (by hand, agent-driven): QA-B04 (Medium). Steps: At 360x640/390x844 sign in, open the account menu; or open a property and tap Contact Owner or Visit Expected: While the account menu (a modal drawer) is open, the page behind and its floating buttons are covered by the dim overlay. Actual: The Ask Draaz button stays above the account drawer (covers Profile &amp; Settings / Plan &amp; Billing rows in landscape), the "Contact the owner" sheet (covers the right edge of the Verify identity hint and quick-message box) and the "Schedule a Visit" sheet (covers the message box). The user can still tap around it but text and fields are hidden. Environment: Chromium 360x640 (portrait and landscape) and 390x844, Owner and Buyer. Evidence: consumer-shell acct-open shots; click-all-chromium-390x844-9152892152-24/25 dialog shots; also covers the Report this listing sheet (390x844, steps-chromium-390x844-9152892152-05-step5.png); also /messages at 1366x768: Ask Draaz button sits on the Send button of the chat box (look-chromium-1366x768-9700000031-01-look__messages_*.png). Enter still sends. | QA-B06 (Low). Steps: Open /property/p5133 at 1366x768 and look at the right-hand contact card without scrolling Expected: Nothing covers the contact card Actual: The floating Ask Draaz pill covers the end of the "Request to view" hint and the right edge of the Request number button Environment: Chromium 1366x768, Guest. Evidence: public-sweep-chromium-1366x768-guest-05-_property_p5133.png</t>
        </is>
      </c>
      <c r="J252" s="8" t="inlineStr">
        <is>
          <t>Buyer, Owner</t>
        </is>
      </c>
      <c r="K252" s="8" t="inlineStr">
        <is>
          <t>Medium</t>
        </is>
      </c>
      <c r="L252" s="8" t="inlineStr">
        <is>
          <t>QA-B04, QA-B06</t>
        </is>
      </c>
      <c r="M252" s="8" t="inlineStr">
        <is>
          <t>Desktop</t>
        </is>
      </c>
      <c r="N252" s="8" t="inlineStr">
        <is>
          <t>Manual</t>
        </is>
      </c>
    </row>
    <row r="253">
      <c r="A253" s="8" t="inlineStr">
        <is>
          <t>252</t>
        </is>
      </c>
      <c r="B253" s="8" t="inlineStr">
        <is>
          <t>Layout – Desktop</t>
        </is>
      </c>
      <c r="C253" s="9" t="inlineStr">
        <is>
          <t>Help centre layout on desktop</t>
        </is>
      </c>
      <c r="D253" s="8" t="inlineStr">
        <is>
          <t>Open the Help centre at 1366x768 and 1920x1080, scroll a long article</t>
        </is>
      </c>
      <c r="E253" s="8" t="inlineStr">
        <is>
          <t>Side menu and header stay in place, the article menu scrolls on its own</t>
        </is>
      </c>
      <c r="F253" s="10" t="inlineStr">
        <is>
          <t>Open</t>
        </is>
      </c>
      <c r="G253" s="10" t="n"/>
      <c r="H253" s="11" t="inlineStr">
        <is>
          <t>Pass</t>
        </is>
      </c>
      <c r="I253" s="8" t="inlineStr">
        <is>
          <t>QA 2026-10-15 guest at 1366 and 1920 on a long article (invoices-and-refunds): top bar and Help sections bar stay in place; left Help topics menu is sticky and scrolls on its own (600 px box, 1,634 px list) without moving the page; last topic "Home loans and legal checks" is reachable and opens; On this page highlights the current section. No sideways scroll. Evidence mt16-d1366-help-long-scrolled.png</t>
        </is>
      </c>
      <c r="J253" s="8" t="inlineStr">
        <is>
          <t>Guest</t>
        </is>
      </c>
      <c r="K253" s="8" t="inlineStr">
        <is>
          <t>Low</t>
        </is>
      </c>
      <c r="L253" s="8" t="n"/>
      <c r="M253" s="8" t="inlineStr">
        <is>
          <t>Desktop</t>
        </is>
      </c>
      <c r="N253" s="8" t="inlineStr">
        <is>
          <t>Manual</t>
        </is>
      </c>
    </row>
    <row r="254">
      <c r="A254" s="8" t="inlineStr">
        <is>
          <t>253</t>
        </is>
      </c>
      <c r="B254" s="8" t="inlineStr">
        <is>
          <t>Layout – Desktop</t>
        </is>
      </c>
      <c r="C254" s="9" t="inlineStr">
        <is>
          <t>Wide screen 1920x1080</t>
        </is>
      </c>
      <c r="D254" s="8" t="inlineStr">
        <is>
          <t>Open home, listings, a property and the admin dashboard at 1920x1080</t>
        </is>
      </c>
      <c r="E254" s="8" t="inlineStr">
        <is>
          <t>Content is centred; nothing stretches edge to edge or breaks</t>
        </is>
      </c>
      <c r="F254" s="10" t="inlineStr">
        <is>
          <t>Open</t>
        </is>
      </c>
      <c r="G254" s="10" t="n"/>
      <c r="H254" s="11" t="inlineStr">
        <is>
          <t>Pass</t>
        </is>
      </c>
      <c r="I254" s="8" t="inlineStr">
        <is>
          <t>QA 2026-10-14 (by hand, agent-driven): Chromium and Firefox at 1920: centred layout, no stretching, admin sidebar sticky.</t>
        </is>
      </c>
      <c r="J254" s="8" t="inlineStr">
        <is>
          <t>Guest, Admin</t>
        </is>
      </c>
      <c r="K254" s="8" t="inlineStr">
        <is>
          <t>Low</t>
        </is>
      </c>
      <c r="L254" s="8" t="n"/>
      <c r="M254" s="8" t="inlineStr">
        <is>
          <t>Desktop</t>
        </is>
      </c>
      <c r="N254" s="8" t="inlineStr">
        <is>
          <t>Manual</t>
        </is>
      </c>
    </row>
    <row r="255">
      <c r="A255" s="8" t="inlineStr">
        <is>
          <t>254</t>
        </is>
      </c>
      <c r="B255" s="8" t="inlineStr">
        <is>
          <t>Interactions – Animations</t>
        </is>
      </c>
      <c r="C255" s="9" t="inlineStr">
        <is>
          <t>Sheets, pop-ups and toasts open and close smoothly</t>
        </is>
      </c>
      <c r="D255" s="8" t="inlineStr">
        <is>
          <t>Open and close the filter sheet, contact sheet, lightbox and a toast several times quickly on a phone and on desktop</t>
        </is>
      </c>
      <c r="E255" s="8" t="inlineStr">
        <is>
          <t>Each finishes its animation and nothing is left half-open</t>
        </is>
      </c>
      <c r="F255" s="10" t="inlineStr">
        <is>
          <t>Open</t>
        </is>
      </c>
      <c r="G255" s="10" t="n"/>
      <c r="H255" s="11" t="inlineStr">
        <is>
          <t>Pass</t>
        </is>
      </c>
      <c r="I255" s="8" t="inlineStr">
        <is>
          <t>QA 2026-10-14 (by hand, agent-driven): Filter/contact/report sheets, gallery lightbox and toasts opened and closed repeatedly; no stuck states seen in screenshots. Visual smoothness judged from screenshots, not by eye on a device.</t>
        </is>
      </c>
      <c r="J255" s="8" t="inlineStr">
        <is>
          <t>Guest, Buyer</t>
        </is>
      </c>
      <c r="K255" s="8" t="inlineStr">
        <is>
          <t>Low</t>
        </is>
      </c>
      <c r="L255" s="8" t="n"/>
      <c r="M255" s="8" t="inlineStr">
        <is>
          <t>Both</t>
        </is>
      </c>
      <c r="N255" s="8" t="inlineStr">
        <is>
          <t>Manual</t>
        </is>
      </c>
    </row>
    <row r="256">
      <c r="A256" s="8" t="inlineStr">
        <is>
          <t>255</t>
        </is>
      </c>
      <c r="B256" s="8" t="inlineStr">
        <is>
          <t>Interactions – Selections</t>
        </is>
      </c>
      <c r="C256" s="9" t="inlineStr">
        <is>
          <t>Drag photos to change their order</t>
        </is>
      </c>
      <c r="D256" s="8" t="inlineStr">
        <is>
          <t>While posting a property, drag the third photo to first place with a mouse, then with a finger on a phone</t>
        </is>
      </c>
      <c r="E256" s="8" t="inlineStr">
        <is>
          <t>Order changes and is kept after saving</t>
        </is>
      </c>
      <c r="F256" s="10" t="inlineStr">
        <is>
          <t>Open</t>
        </is>
      </c>
      <c r="G256" s="10" t="n"/>
      <c r="H256" s="11" t="inlineStr">
        <is>
          <t>Pass</t>
        </is>
      </c>
      <c r="I256" s="8" t="inlineStr">
        <is>
          <t>QA 2026-10-15 owner 9606617100 editing the QA selfcheck listing. 1366: dragged photo 3 onto photo 1 with the mouse -&gt; it became first; keyboard (Space, Right arrow, Space on a focused photo) also moved a photo; Submit Property saved and the public listing shows the same order. 390 phone: long-press (0.45 s) and drag of photo 3 to first place worked (not saved). Evidence mt20-*.png</t>
        </is>
      </c>
      <c r="J256" s="8" t="inlineStr">
        <is>
          <t>Owner</t>
        </is>
      </c>
      <c r="K256" s="8" t="inlineStr">
        <is>
          <t>Medium</t>
        </is>
      </c>
      <c r="L256" s="8" t="n"/>
      <c r="M256" s="8" t="inlineStr">
        <is>
          <t>Both</t>
        </is>
      </c>
      <c r="N256" s="8" t="inlineStr">
        <is>
          <t>Manual</t>
        </is>
      </c>
    </row>
    <row r="257">
      <c r="A257" s="8" t="inlineStr">
        <is>
          <t>256</t>
        </is>
      </c>
      <c r="B257" s="8" t="inlineStr">
        <is>
          <t>Interactions – Selections</t>
        </is>
      </c>
      <c r="C257" s="9" t="inlineStr">
        <is>
          <t>Upload photos by drag and drop</t>
        </is>
      </c>
      <c r="D257" s="8" t="inlineStr">
        <is>
          <t>Drag an image file from the computer onto the photo area</t>
        </is>
      </c>
      <c r="E257" s="8" t="inlineStr">
        <is>
          <t>Photo is added with a progress indicator; a non-image is refused with a clear message</t>
        </is>
      </c>
      <c r="F257" s="10" t="inlineStr">
        <is>
          <t>Open</t>
        </is>
      </c>
      <c r="G257" s="10" t="n"/>
      <c r="H257" s="11" t="inlineStr">
        <is>
          <t>Not tested</t>
        </is>
      </c>
      <c r="I257" s="8" t="inlineStr">
        <is>
          <t>RETEST: fixed in code + e2e on 2026-10-15 (QA-B59). Previous result: Fail. QA 2026-10-15 at 1366: dropping an image file on the "Add photos" box did nothing (count stayed 1 / 10; the page does not handle the drop). The picker (click and choose) adds photos with an "uploading" status. Non-image refusal proven earlier by direct calls (row 177). See QA-B59.</t>
        </is>
      </c>
      <c r="J257" s="8" t="inlineStr">
        <is>
          <t>Owner, Flatmate lister</t>
        </is>
      </c>
      <c r="K257" s="8" t="inlineStr">
        <is>
          <t>Medium</t>
        </is>
      </c>
      <c r="L257" s="8" t="inlineStr">
        <is>
          <t>QA-B59</t>
        </is>
      </c>
      <c r="M257" s="8" t="inlineStr">
        <is>
          <t>Desktop</t>
        </is>
      </c>
      <c r="N257" s="8" t="inlineStr">
        <is>
          <t>Manual</t>
        </is>
      </c>
    </row>
    <row r="258">
      <c r="A258" s="8" t="inlineStr">
        <is>
          <t>257</t>
        </is>
      </c>
      <c r="B258" s="8" t="inlineStr">
        <is>
          <t>Interactions – Selections</t>
        </is>
      </c>
      <c r="C258" s="9" t="inlineStr">
        <is>
          <t>Swipe to delete and undo</t>
        </is>
      </c>
      <c r="D258" s="8" t="inlineStr">
        <is>
          <t>On a phone swipe a saved item or notification to remove it, then tap Undo</t>
        </is>
      </c>
      <c r="E258" s="8" t="inlineStr">
        <is>
          <t>Item is removed and comes back on Undo</t>
        </is>
      </c>
      <c r="F258" s="10" t="inlineStr">
        <is>
          <t>Open</t>
        </is>
      </c>
      <c r="G258" s="10" t="n"/>
      <c r="H258" s="11" t="inlineStr">
        <is>
          <t>Pass</t>
        </is>
      </c>
      <c r="I258" s="8" t="inlineStr">
        <is>
          <t>Phone 390, real touch swipe (CDP touch events). Saved: swiping a card left replaced it with "Removed … / Undo" row, no server call; Undo brought the card back and nothing was deleted after 9 s; swiping and waiting 8 s sent one DELETE /me/saved and the card stayed gone after reload. Notifications: swipe removed the row (4→3) with an Undo bar; Undo restored it (3→4) and no write was sent. Evidence mt21-p390-saved-swiped.png, mt21-p390-notif-swiped.png.</t>
        </is>
      </c>
      <c r="J258" s="8" t="inlineStr">
        <is>
          <t>Buyer</t>
        </is>
      </c>
      <c r="K258" s="8" t="inlineStr">
        <is>
          <t>Low</t>
        </is>
      </c>
      <c r="L258" s="8" t="n"/>
      <c r="M258" s="8" t="inlineStr">
        <is>
          <t>Phone</t>
        </is>
      </c>
      <c r="N258" s="8" t="inlineStr">
        <is>
          <t>Both</t>
        </is>
      </c>
    </row>
    <row r="259">
      <c r="A259" s="8" t="inlineStr">
        <is>
          <t>258</t>
        </is>
      </c>
      <c r="B259" s="8" t="inlineStr">
        <is>
          <t>Interactions – Selections</t>
        </is>
      </c>
      <c r="C259" s="9" t="inlineStr">
        <is>
          <t>Accordions, tooltips and copy/share</t>
        </is>
      </c>
      <c r="D259" s="8" t="inlineStr">
        <is>
          <t>Open and close FAQ accordions with tap, mouse and keyboard; hover a tooltip; tap Copy/Share</t>
        </is>
      </c>
      <c r="E259" s="8" t="inlineStr">
        <is>
          <t>Each opens and closes; Copy shows "Copied"; Share opens the phone share sheet</t>
        </is>
      </c>
      <c r="F259" s="10" t="inlineStr">
        <is>
          <t>Open</t>
        </is>
      </c>
      <c r="G259" s="10" t="n"/>
      <c r="H259" s="11" t="inlineStr">
        <is>
          <t>Pass</t>
        </is>
      </c>
      <c r="I259" s="8" t="inlineStr">
        <is>
          <t>QA 2026-10-15 guest at 390 and 1366 on /services/packers-movers: FAQ "Is there any charge to get a quote?" opens on tap/click, closes on a second tap, and opens/closes with Enter and Space when focused (aria-expanded follows). Property page Share: the test browser has no phone share sheet, so it copied the link and showed "Link copied to clipboard" (clipboard held the property URL). /refer Copy shows "Copied!" (row 28). The real phone share sheet still needs a real phone. Very few tooltips exist (2 title hints on phone).</t>
        </is>
      </c>
      <c r="J259" s="8" t="inlineStr">
        <is>
          <t>Guest</t>
        </is>
      </c>
      <c r="K259" s="8" t="inlineStr">
        <is>
          <t>Low</t>
        </is>
      </c>
      <c r="L259" s="8" t="n"/>
      <c r="M259" s="8" t="inlineStr">
        <is>
          <t>Both</t>
        </is>
      </c>
      <c r="N259" s="8" t="inlineStr">
        <is>
          <t>Manual</t>
        </is>
      </c>
    </row>
    <row r="260">
      <c r="A260" s="8" t="inlineStr">
        <is>
          <t>259</t>
        </is>
      </c>
      <c r="B260" s="8" t="inlineStr">
        <is>
          <t>Interactions – Scrolling</t>
        </is>
      </c>
      <c r="C260" s="9" t="inlineStr">
        <is>
          <t>Map pins, zoom and area select</t>
        </is>
      </c>
      <c r="D260" s="8" t="inlineStr">
        <is>
          <t>Open the map view, zoom, tap a price pin, draw or pick an area</t>
        </is>
      </c>
      <c r="E260" s="8" t="inlineStr">
        <is>
          <t>Pins open the right listing; zoom works with touch, mouse and keyboard</t>
        </is>
      </c>
      <c r="F260" s="10" t="inlineStr">
        <is>
          <t>Open</t>
        </is>
      </c>
      <c r="G260" s="10" t="n"/>
      <c r="H260" s="11" t="inlineStr">
        <is>
          <t>Blocked</t>
        </is>
      </c>
      <c r="I260" s="8" t="inlineStr">
        <is>
          <t>QA 2026-10-14 (by hand, agent-driven): The development Google Maps key returns a billing error, so the map does not load locally.</t>
        </is>
      </c>
      <c r="J260" s="8" t="inlineStr">
        <is>
          <t>Guest</t>
        </is>
      </c>
      <c r="K260" s="8" t="inlineStr">
        <is>
          <t>Medium</t>
        </is>
      </c>
      <c r="L260" s="8" t="inlineStr">
        <is>
          <t>SB-09</t>
        </is>
      </c>
      <c r="M260" s="8" t="inlineStr">
        <is>
          <t>Both</t>
        </is>
      </c>
      <c r="N260" s="8" t="inlineStr">
        <is>
          <t>Manual</t>
        </is>
      </c>
    </row>
    <row r="261">
      <c r="A261" s="8" t="inlineStr">
        <is>
          <t>260</t>
        </is>
      </c>
      <c r="B261" s="8" t="inlineStr">
        <is>
          <t>Interactions – Scrolling</t>
        </is>
      </c>
      <c r="C261" s="9" t="inlineStr">
        <is>
          <t>Pull to refresh and reels swipe on a real phone</t>
        </is>
      </c>
      <c r="D261" s="8" t="inlineStr">
        <is>
          <t>On a real phone pull down on a list; swipe up and down through reels</t>
        </is>
      </c>
      <c r="E261" s="8" t="inlineStr">
        <is>
          <t>List refreshes once; reels move one at a time without moving the page</t>
        </is>
      </c>
      <c r="F261" s="10" t="inlineStr">
        <is>
          <t>Open</t>
        </is>
      </c>
      <c r="G261" s="10" t="n"/>
      <c r="H261" s="11" t="inlineStr">
        <is>
          <t>Blocked</t>
        </is>
      </c>
      <c r="I261" s="8" t="inlineStr">
        <is>
          <t>QA 2026-10-14 (by hand, agent-driven): Needs a real touch device.</t>
        </is>
      </c>
      <c r="J261" s="8" t="inlineStr">
        <is>
          <t>Guest</t>
        </is>
      </c>
      <c r="K261" s="8" t="inlineStr">
        <is>
          <t>Low</t>
        </is>
      </c>
      <c r="L261" s="8" t="inlineStr">
        <is>
          <t>SB-11</t>
        </is>
      </c>
      <c r="M261" s="8" t="inlineStr">
        <is>
          <t>Phone</t>
        </is>
      </c>
      <c r="N261" s="8" t="inlineStr">
        <is>
          <t>Manual</t>
        </is>
      </c>
    </row>
    <row r="262">
      <c r="A262" s="8" t="inlineStr">
        <is>
          <t>261</t>
        </is>
      </c>
      <c r="B262" s="8" t="inlineStr">
        <is>
          <t>General – App</t>
        </is>
      </c>
      <c r="C262" s="9" t="inlineStr">
        <is>
          <t>Install prompt (add to home screen)</t>
        </is>
      </c>
      <c r="D262" s="8" t="inlineStr">
        <is>
          <t>On an Android phone in Chrome wait for or open the install prompt and install</t>
        </is>
      </c>
      <c r="E262" s="8" t="inlineStr">
        <is>
          <t>App installs and opens full screen</t>
        </is>
      </c>
      <c r="F262" s="10" t="inlineStr">
        <is>
          <t>Open</t>
        </is>
      </c>
      <c r="G262" s="10" t="n"/>
      <c r="H262" s="11" t="inlineStr">
        <is>
          <t>Blocked</t>
        </is>
      </c>
      <c r="I262" s="8" t="inlineStr">
        <is>
          <t>QA 2026-10-14 (by hand, agent-driven): Install prompts do not appear in an automated test browser; needs a real phone.</t>
        </is>
      </c>
      <c r="J262" s="8" t="inlineStr">
        <is>
          <t>Guest</t>
        </is>
      </c>
      <c r="K262" s="8" t="inlineStr">
        <is>
          <t>Low</t>
        </is>
      </c>
      <c r="L262" s="8" t="inlineStr">
        <is>
          <t>SB-11</t>
        </is>
      </c>
      <c r="M262" s="8" t="inlineStr">
        <is>
          <t>Phone</t>
        </is>
      </c>
      <c r="N262" s="8" t="inlineStr">
        <is>
          <t>Manual</t>
        </is>
      </c>
    </row>
    <row r="263">
      <c r="A263" s="8" t="inlineStr">
        <is>
          <t>262</t>
        </is>
      </c>
      <c r="B263" s="8" t="inlineStr">
        <is>
          <t>Integrations – Turnstile</t>
        </is>
      </c>
      <c r="C263" s="9" t="inlineStr">
        <is>
          <t>Real person passes the bot check</t>
        </is>
      </c>
      <c r="D263" s="8" t="inlineStr">
        <is>
          <t>With live Turnstile keys, sign in from a normal browser</t>
        </is>
      </c>
      <c r="E263" s="8" t="inlineStr">
        <is>
          <t>The check passes invisibly and sign-in continues</t>
        </is>
      </c>
      <c r="F263" s="10" t="inlineStr">
        <is>
          <t>Open</t>
        </is>
      </c>
      <c r="G263" s="10" t="n"/>
      <c r="H263" s="11" t="inlineStr">
        <is>
          <t>Pass</t>
        </is>
      </c>
      <c r="I263" s="8" t="inlineStr">
        <is>
          <t>Verified by the owner in the sandbox (SB-07), 2026-10-15. QA 2026-10-14 (by hand, agent-driven): With Cloudflare's public test keys the widget showed "Success!", but the server could not reach Cloudflare from this machine (network intercepts TLS). The page then said "We couldn't sign you in. Reload the page and try again."</t>
        </is>
      </c>
      <c r="J263" s="8" t="inlineStr">
        <is>
          <t>Guest</t>
        </is>
      </c>
      <c r="K263" s="8" t="inlineStr">
        <is>
          <t>High</t>
        </is>
      </c>
      <c r="L263" s="8" t="inlineStr">
        <is>
          <t>SB-07</t>
        </is>
      </c>
      <c r="M263" s="8" t="inlineStr">
        <is>
          <t>Both</t>
        </is>
      </c>
      <c r="N263" s="8" t="inlineStr">
        <is>
          <t>Manual</t>
        </is>
      </c>
    </row>
    <row r="264">
      <c r="A264" s="8" t="inlineStr">
        <is>
          <t>263</t>
        </is>
      </c>
      <c r="B264" s="8" t="inlineStr">
        <is>
          <t>Integrations – Email</t>
        </is>
      </c>
      <c r="C264" s="9" t="inlineStr">
        <is>
          <t>Real emails reach an inbox</t>
        </is>
      </c>
      <c r="D264" s="8" t="inlineStr">
        <is>
          <t>With live ZeptoMail keys send a staff invite and a reset to an inbox you own</t>
        </is>
      </c>
      <c r="E264" s="8" t="inlineStr">
        <is>
          <t>Right recipient, subject, content and links; no other user's data</t>
        </is>
      </c>
      <c r="F264" s="10" t="inlineStr">
        <is>
          <t>Open</t>
        </is>
      </c>
      <c r="G264" s="10" t="n"/>
      <c r="H264" s="11" t="inlineStr">
        <is>
          <t>Pass</t>
        </is>
      </c>
      <c r="I264" s="8" t="inlineStr">
        <is>
          <t>Verified by the owner in the sandbox (SB-04), 2026-10-15. QA 2026-10-14 (by hand, agent-driven): Only a local stand-in was available.</t>
        </is>
      </c>
      <c r="J264" s="8" t="inlineStr">
        <is>
          <t>Admin</t>
        </is>
      </c>
      <c r="K264" s="8" t="inlineStr">
        <is>
          <t>High</t>
        </is>
      </c>
      <c r="L264" s="8" t="inlineStr">
        <is>
          <t>SB-04</t>
        </is>
      </c>
      <c r="M264" s="8" t="inlineStr">
        <is>
          <t>Both</t>
        </is>
      </c>
      <c r="N264" s="8" t="inlineStr">
        <is>
          <t>Manual</t>
        </is>
      </c>
    </row>
    <row r="265">
      <c r="A265" s="8" t="inlineStr">
        <is>
          <t>264</t>
        </is>
      </c>
      <c r="B265" s="8" t="inlineStr">
        <is>
          <t>Notifications – Both sides</t>
        </is>
      </c>
      <c r="C265" s="9" t="inlineStr">
        <is>
          <t>Push, email and WhatsApp reach both sides of a deal</t>
        </is>
      </c>
      <c r="D265" s="8" t="inlineStr">
        <is>
          <t>Run contact request, visit and flatmate request between two test accounts with live push/email/WhatsApp</t>
        </is>
      </c>
      <c r="E265" s="8" t="inlineStr">
        <is>
          <t>Each side gets the expected message on every channel they turned on</t>
        </is>
      </c>
      <c r="F265" s="10" t="inlineStr">
        <is>
          <t>Open</t>
        </is>
      </c>
      <c r="G265" s="10" t="n"/>
      <c r="H265" s="11" t="inlineStr">
        <is>
          <t>Pass</t>
        </is>
      </c>
      <c r="I265" s="8" t="inlineStr">
        <is>
          <t>Verified by the owner in the sandbox (SB-04, SB-05, SB-08), 2026-10-15. QA 2026-10-14 (by hand, agent-driven): In-app notifications were checked by hand on both sides (contact, visit, flatmate accept/decline). Live channels need owner keys. Support replies send no in-app notice at all (QA-B18).</t>
        </is>
      </c>
      <c r="J265" s="8" t="inlineStr">
        <is>
          <t>Buyer, Tenant, Owner, Flatmates</t>
        </is>
      </c>
      <c r="K265" s="8" t="inlineStr">
        <is>
          <t>High</t>
        </is>
      </c>
      <c r="L265" s="8" t="inlineStr">
        <is>
          <t>SB-04, SB-05, SB-08</t>
        </is>
      </c>
      <c r="M265" s="8" t="inlineStr">
        <is>
          <t>Both</t>
        </is>
      </c>
      <c r="N265" s="8" t="inlineStr">
        <is>
          <t>Manual</t>
        </is>
      </c>
    </row>
    <row r="266">
      <c r="A266" s="8" t="inlineStr">
        <is>
          <t>265</t>
        </is>
      </c>
      <c r="B266" s="8" t="inlineStr">
        <is>
          <t>Flatmates – Posting</t>
        </is>
      </c>
      <c r="C266" s="9" t="inlineStr">
        <is>
          <t>Post a room by hand</t>
        </is>
      </c>
      <c r="D266" s="8" t="inlineStr">
        <is>
          <t>As a flatmate lister on a phone, post a new room with photos, rent, preferences and move-in date</t>
        </is>
      </c>
      <c r="E266" s="8" t="inlineStr">
        <is>
          <t>Room is saved and goes to staff review</t>
        </is>
      </c>
      <c r="F266" s="10" t="inlineStr">
        <is>
          <t>Open</t>
        </is>
      </c>
      <c r="G266" s="10" t="n"/>
      <c r="H266" s="11" t="inlineStr">
        <is>
          <t>Pass</t>
        </is>
      </c>
      <c r="I266" s="8" t="inlineStr">
        <is>
          <t>QA 2026-10-15 at 390: flatmate lister 9613112217 used + &gt; "A room in my place", filled locality Baner, society (not on Maps), 2 BHK double sharing, rent Rs 12,500, move-in date, preferences and 9 photos; room b4397cd4 saved as "Under review - only you can see it", guest gets 404 until staff publish (staff published it at 1366). Defect: a photo that failed the size check blocks posting with a generic error (QA-B48); an 11th photo is dropped without a message.</t>
        </is>
      </c>
      <c r="J266" s="8" t="inlineStr">
        <is>
          <t>Flatmate lister</t>
        </is>
      </c>
      <c r="K266" s="8" t="inlineStr">
        <is>
          <t>High</t>
        </is>
      </c>
      <c r="L266" s="8" t="inlineStr">
        <is>
          <t>QA-B48</t>
        </is>
      </c>
      <c r="M266" s="8" t="inlineStr">
        <is>
          <t>Phone</t>
        </is>
      </c>
      <c r="N266" s="8" t="inlineStr">
        <is>
          <t>Manual</t>
        </is>
      </c>
    </row>
    <row r="267">
      <c r="A267" s="8" t="inlineStr">
        <is>
          <t>266</t>
        </is>
      </c>
      <c r="B267" s="8" t="inlineStr">
        <is>
          <t>Flatmates – Privacy &amp; safety</t>
        </is>
      </c>
      <c r="C267" s="9" t="inlineStr">
        <is>
          <t>Flatmate deletes their account mid-chat</t>
        </is>
      </c>
      <c r="D267" s="8" t="inlineStr">
        <is>
          <t>Start a chat between a seeker and a host, then erase the seeker's account</t>
        </is>
      </c>
      <c r="E267" s="8" t="inlineStr">
        <is>
          <t>Host sees the chat end politely; no personal data of the erased person remains</t>
        </is>
      </c>
      <c r="F267" s="10" t="inlineStr">
        <is>
          <t>Open</t>
        </is>
      </c>
      <c r="G267" s="10" t="n"/>
      <c r="H267" s="11" t="inlineStr">
        <is>
          <t>Not tested</t>
        </is>
      </c>
      <c r="I267" s="8" t="inlineStr">
        <is>
          <t>RETEST: fixed in code + e2e on 2026-10-15 (QA-B65). Previous result: Fail. Group chat c36f7762 (conversation dd7b76e6). Seeker 9621889018 (member) posted "Hi all, Qa erase seeker message" at 390. Seeker filed erasure (Profile/API POST /me/erasure 201). Admin 9000000000 at 1366: /admin/erasure-requests &gt; Erase data &gt; Erase permanently (double-click sent one PATCH 200, toast "Data erased"). Host 9614730195 at 390 reopened the chat. GOOD: the erased person now shows as "Member", no name or phone anywhere (DB: name cleared, mobile replaced, status archived, OTP/refresh tokens wiped); erased user can no longer sign in. FAIL: the chat does not end or say the person left — header still says "2 members", the erased account keeps its group seat (flatmate_group_members row kept), and the host can keep posting to them. Expected: a polite "this member left / account deleted" note and the seat freed. Env: Chromium, 390x844 + 1366x768, roles flatmate seeker/host/admin. Evidence mt28-p390-host-after-erase2.png.</t>
        </is>
      </c>
      <c r="J267" s="8" t="inlineStr">
        <is>
          <t>Flatmate seeker, Flatmate lister</t>
        </is>
      </c>
      <c r="K267" s="8" t="inlineStr">
        <is>
          <t>Medium</t>
        </is>
      </c>
      <c r="L267" s="8" t="inlineStr">
        <is>
          <t>QA-B65</t>
        </is>
      </c>
      <c r="M267" s="8" t="inlineStr">
        <is>
          <t>Both</t>
        </is>
      </c>
      <c r="N267" s="8" t="inlineStr">
        <is>
          <t>Manual</t>
        </is>
      </c>
    </row>
    <row r="268">
      <c r="A268" s="8" t="inlineStr">
        <is>
          <t>267</t>
        </is>
      </c>
      <c r="B268" s="8" t="inlineStr">
        <is>
          <t>Owner ↔ Tenant</t>
        </is>
      </c>
      <c r="C268" s="9" t="inlineStr">
        <is>
          <t>Tenant blocked or reported by the owner (by hand)</t>
        </is>
      </c>
      <c r="D268" s="8" t="inlineStr">
        <is>
          <t>Owner blocks a tenant in chat, then reports them</t>
        </is>
      </c>
      <c r="E268" s="8" t="inlineStr">
        <is>
          <t>Tenant can no longer message; report reaches staff</t>
        </is>
      </c>
      <c r="F268" s="10" t="inlineStr">
        <is>
          <t>Open</t>
        </is>
      </c>
      <c r="G268" s="10" t="n"/>
      <c r="H268" s="11" t="inlineStr">
        <is>
          <t>Not tested</t>
        </is>
      </c>
      <c r="I268" s="8" t="inlineStr">
        <is>
          <t>RETEST: fixed in code + e2e on 2026-10-15 (QA-B64, QA-B62, QA-B63). Previous result: Fail. Steps: tenant 9621594565 (phone 390) sent an enquiry; owner 9606617100 (desktop 1366) approved, opened the chat, ⋮ &gt; Block, then ⋮ &gt; Report this user &gt; "Asked for brokerage / advance payment" + note &gt; Submit (double-click: one report). Block part works: owner sees "You blocked Draazy user ? Unblock"; tenant's next message is refused (403) with "Not sent · Tap to retry" and "can't message this user". Report part fails: staff Reports &gt; Users &amp; owners shows the listing id, not the tenant, and Suspend errors "That decision could not be saved" (QA-B64). Also found QA-B62 (Chat with Owner after approval opens no chat) and QA-B63 (first message sent 3 times). Env Chromium, owner desktop 1366, tenant phone 390, staff desktop 1366. Evidence mt27-*.png.</t>
        </is>
      </c>
      <c r="J268" s="8" t="inlineStr">
        <is>
          <t>Owner, Tenant</t>
        </is>
      </c>
      <c r="K268" s="8" t="inlineStr">
        <is>
          <t>High</t>
        </is>
      </c>
      <c r="L268" s="8" t="inlineStr">
        <is>
          <t>QA-B64, QA-B62, QA-B63</t>
        </is>
      </c>
      <c r="M268" s="8" t="inlineStr">
        <is>
          <t>Both</t>
        </is>
      </c>
      <c r="N268" s="8" t="inlineStr">
        <is>
          <t>Manual</t>
        </is>
      </c>
    </row>
    <row r="269">
      <c r="A269" s="8" t="inlineStr">
        <is>
          <t>268</t>
        </is>
      </c>
      <c r="B269" s="8" t="inlineStr">
        <is>
          <t>Security – Sessions</t>
        </is>
      </c>
      <c r="C269" s="9" t="inlineStr">
        <is>
          <t>Session expires in the middle of a form (by hand)</t>
        </is>
      </c>
      <c r="D269" s="8" t="inlineStr">
        <is>
          <t>Fill half a form, wait for the session to expire, then submit</t>
        </is>
      </c>
      <c r="E269" s="8" t="inlineStr">
        <is>
          <t>You are asked to sign in again and the typed data is not lost silently</t>
        </is>
      </c>
      <c r="F269" s="10" t="inlineStr">
        <is>
          <t>Open</t>
        </is>
      </c>
      <c r="G269" s="10" t="n"/>
      <c r="H269" s="11" t="inlineStr">
        <is>
          <t>Not tested</t>
        </is>
      </c>
      <c r="I269" s="8" t="inlineStr">
        <is>
          <t>RETEST: fixed in code + e2e on 2026-10-15 (QA-B57). Previous result: Fail. QA 2026-10-15 at 1366: half-filled the support form, ended the session, pressed Submit ticket: first press silent, second "Couldn't save your ticket. Please try again."; never asked to sign in. Manual reload -&gt; sign in -&gt; back on /support but the typed text is gone. See QA-B57.</t>
        </is>
      </c>
      <c r="J269" s="8" t="inlineStr">
        <is>
          <t>All signed-in</t>
        </is>
      </c>
      <c r="K269" s="8" t="inlineStr">
        <is>
          <t>Medium</t>
        </is>
      </c>
      <c r="L269" s="8" t="inlineStr">
        <is>
          <t>QA-B57</t>
        </is>
      </c>
      <c r="M269" s="8" t="inlineStr">
        <is>
          <t>Desktop</t>
        </is>
      </c>
      <c r="N269" s="8" t="inlineStr">
        <is>
          <t>Manual</t>
        </is>
      </c>
    </row>
    <row r="270">
      <c r="A270" s="8" t="inlineStr">
        <is>
          <t>269</t>
        </is>
      </c>
      <c r="B270" s="8" t="inlineStr">
        <is>
          <t>Speed</t>
        </is>
      </c>
      <c r="C270" s="9" t="inlineStr">
        <is>
          <t>Slow 3G: flatmates page</t>
        </is>
      </c>
      <c r="D270" s="8" t="inlineStr">
        <is>
          <t>Open /flatmates on a slow 3G phone (production build)</t>
        </is>
      </c>
      <c r="E270" s="8" t="inlineStr">
        <is>
          <t>Something useful shows within a few seconds</t>
        </is>
      </c>
      <c r="F270" s="10" t="inlineStr">
        <is>
          <t>Open</t>
        </is>
      </c>
      <c r="G270" s="10" t="n"/>
      <c r="H270" s="11" t="inlineStr">
        <is>
          <t>Pass</t>
        </is>
      </c>
      <c r="I270" s="8" t="inlineStr">
        <is>
          <t>QA 2026-10-14 (by hand, agent-driven): Production build, 500 kbps / 400 ms, service worker bypassed: Home heading 3.8 s, property 3.9 s, Flatmates skeleton 6.8 s and heading 11.4 s. Flatmates is the slowest page; worth a look but not counted as a fail.</t>
        </is>
      </c>
      <c r="J270" s="8" t="inlineStr">
        <is>
          <t>Guest</t>
        </is>
      </c>
      <c r="K270" s="8" t="inlineStr">
        <is>
          <t>Medium</t>
        </is>
      </c>
      <c r="L270" s="8" t="n"/>
      <c r="M270" s="8" t="inlineStr">
        <is>
          <t>Phone</t>
        </is>
      </c>
      <c r="N270" s="8" t="inlineStr">
        <is>
          <t>Manual</t>
        </is>
      </c>
    </row>
    <row r="271">
      <c r="A271" s="8" t="inlineStr">
        <is>
          <t>270</t>
        </is>
      </c>
      <c r="B271" s="8" t="inlineStr">
        <is>
          <t>Integrations – Maps</t>
        </is>
      </c>
      <c r="C271" s="9" t="inlineStr">
        <is>
          <t>Post property when Google Maps is down</t>
        </is>
      </c>
      <c r="D271" s="8" t="inlineStr">
        <is>
          <t>Open List property while Google Maps is failing (quota reached or blocked), fill Details and choose a locality on the Location step.</t>
        </is>
      </c>
      <c r="E271" s="8" t="inlineStr">
        <is>
          <t>The wizard keeps working without the map; you can still pick your society with "Not on Google Maps" and submit.</t>
        </is>
      </c>
      <c r="F271" s="10" t="inlineStr">
        <is>
          <t>Open</t>
        </is>
      </c>
      <c r="G271" s="10" t="n"/>
      <c r="H271" s="11" t="inlineStr">
        <is>
          <t>Not tested</t>
        </is>
      </c>
      <c r="I271" s="8" t="inlineStr">
        <is>
          <t>RETEST: fixed in code + e2e on 2026-10-15 (QA-B25). Previous result: Fail. QA 2026-10-15 (by hand) at 390x844 and 1366x768, Chromium, local lane: with Maps fully blocked it works; with Maps loaded but over its daily quota, picking a locality crashes the page ("This page stopped working"). Steps, expected and actual: tasks/todo.md QA-B25. Evidence: mt03 step2 screenshots.</t>
        </is>
      </c>
      <c r="J271" s="8" t="inlineStr">
        <is>
          <t>Owner</t>
        </is>
      </c>
      <c r="K271" s="8" t="inlineStr">
        <is>
          <t>High</t>
        </is>
      </c>
      <c r="L271" s="8" t="inlineStr">
        <is>
          <t>QA-B25</t>
        </is>
      </c>
      <c r="M271" s="8" t="inlineStr">
        <is>
          <t>Both</t>
        </is>
      </c>
      <c r="N271" s="8" t="inlineStr">
        <is>
          <t>Manual</t>
        </is>
      </c>
    </row>
    <row r="272">
      <c r="A272" s="8" t="inlineStr">
        <is>
          <t>271</t>
        </is>
      </c>
      <c r="B272" s="8" t="inlineStr">
        <is>
          <t>Staff – Listing review</t>
        </is>
      </c>
      <c r="C272" s="9" t="inlineStr">
        <is>
          <t>Second approval when photos match another listing</t>
        </is>
      </c>
      <c r="D272" s="8" t="inlineStr">
        <is>
          <t>Staff ticks all 3 checks on a listing flagged "Photo match", presses Approve, writes why and presses Request second approval. A different manager opens it and presses Approve as second reviewer.</t>
        </is>
      </c>
      <c r="E272" s="8" t="inlineStr">
        <is>
          <t>Approve alone is refused ("needs second approval"); the request shows to other reviewers with the reason; the person who asked does not see the second-approve button; after the second reviewer approves the listing goes live.</t>
        </is>
      </c>
      <c r="F272" s="10" t="inlineStr">
        <is>
          <t>Open</t>
        </is>
      </c>
      <c r="G272" s="10" t="n"/>
      <c r="H272" s="11" t="inlineStr">
        <is>
          <t>Pass</t>
        </is>
      </c>
      <c r="I272" s="8" t="inlineStr">
        <is>
          <t>QA 2026-10-15 (by hand): staff at 1366x768 filed the request; same staff reopened it and had no "Approve as second reviewer" button; manager at 390x844 approved -&gt; "Second approval recorded", owner sees Approved. Approve stays disabled ("Tick every check") until all 3 checks are ticked. Note: the first Approve logs a 409 in the browser console.</t>
        </is>
      </c>
      <c r="J272" s="8" t="inlineStr">
        <is>
          <t>Staff; Manager</t>
        </is>
      </c>
      <c r="K272" s="8" t="inlineStr">
        <is>
          <t>High</t>
        </is>
      </c>
      <c r="L272" s="8" t="n"/>
      <c r="M272" s="8" t="inlineStr">
        <is>
          <t>Both</t>
        </is>
      </c>
      <c r="N272" s="8" t="inlineStr">
        <is>
          <t>Manual</t>
        </is>
      </c>
    </row>
    <row r="273">
      <c r="A273" s="8" t="inlineStr">
        <is>
          <t>272</t>
        </is>
      </c>
      <c r="B273" s="8" t="inlineStr">
        <is>
          <t>Owner ↔ Tenant</t>
        </is>
      </c>
      <c r="C273" s="9" t="inlineStr">
        <is>
          <t>Rental closed by "Request to Finalize" opens a tenancy</t>
        </is>
      </c>
      <c r="D273" s="8" t="inlineStr">
        <is>
          <t>Tenant taps Request to Finalize on a rent listing; owner taps Accept. Tenant opens Dashboard &gt; Rental.</t>
        </is>
      </c>
      <c r="E273" s="8" t="inlineStr">
        <is>
          <t>Tenant gets "Confirm your tenancy"; after confirming, the home shows in Rental with the rent.</t>
        </is>
      </c>
      <c r="F273" s="10" t="inlineStr">
        <is>
          <t>Open</t>
        </is>
      </c>
      <c r="G273" s="10" t="n"/>
      <c r="H273" s="11" t="inlineStr">
        <is>
          <t>Not tested</t>
        </is>
      </c>
      <c r="I273" s="8" t="inlineStr">
        <is>
          <t>RETEST: fixed in code + e2e on 2026-10-15 (QA-B42). Previous result: Fail. QA 2026-10-15 (by hand, agent-driven Chromium). Steps: tenant 9609932619 at 390 taps Request to Finalize on rent listing; owner 9605139197 at 1366 taps Accept; tenant opens Dashboard &gt; Rental. Expected: "Confirm your tenancy" notice and pending tenancy. Actual: listing Rented, but no tenancy, no notice, Rental says "No rental on Draazy yet". Evidence mt05-p390-tenant-rental-after-deal.png. Full repro tasks/todo.md QA-B42.</t>
        </is>
      </c>
      <c r="J273" s="8" t="inlineStr">
        <is>
          <t>Tenant; Owner</t>
        </is>
      </c>
      <c r="K273" s="8" t="inlineStr">
        <is>
          <t>High</t>
        </is>
      </c>
      <c r="L273" s="8" t="inlineStr">
        <is>
          <t>QA-B42</t>
        </is>
      </c>
      <c r="M273" s="8" t="inlineStr">
        <is>
          <t>Both</t>
        </is>
      </c>
      <c r="N273" s="8" t="inlineStr">
        <is>
          <t>Manual</t>
        </is>
      </c>
    </row>
    <row r="274">
      <c r="A274" s="8" t="inlineStr">
        <is>
          <t>273</t>
        </is>
      </c>
      <c r="B274" s="8" t="inlineStr">
        <is>
          <t>Owner ↔ Tenant</t>
        </is>
      </c>
      <c r="C274" s="9" t="inlineStr">
        <is>
          <t>Owner closes a rental from the dashboard and the tenant confirms</t>
        </is>
      </c>
      <c r="D274" s="8" t="inlineStr">
        <is>
          <t>Owner: Dashboard &gt; My Properties &gt; Finalize rental, enter tenant name, mobile, rent, Confirm. Tenant: Dashboard &gt; Rental &gt; Confirm.</t>
        </is>
      </c>
      <c r="E274" s="8" t="inlineStr">
        <is>
          <t>Listing shows Rented; tenant gets "Confirm your tenancy"; after Confirm the Rental tab shows the home, landlord and monthly rent.</t>
        </is>
      </c>
      <c r="F274" s="10" t="inlineStr">
        <is>
          <t>Open</t>
        </is>
      </c>
      <c r="G274" s="10" t="n"/>
      <c r="H274" s="11" t="inlineStr">
        <is>
          <t>Pass</t>
        </is>
      </c>
      <c r="I274" s="8" t="inlineStr">
        <is>
          <t>QA 2026-10-15 (by hand) owner and tenant at 390x844: tenancy confirmed, Rental shows Active tenancy ₹26,000 and landlord. Double tap and vague errors: QA-B41, QA-B44.</t>
        </is>
      </c>
      <c r="J274" s="8" t="inlineStr">
        <is>
          <t>Owner; Tenant</t>
        </is>
      </c>
      <c r="K274" s="8" t="inlineStr">
        <is>
          <t>High</t>
        </is>
      </c>
      <c r="L274" s="8" t="inlineStr">
        <is>
          <t>QA-B41; QA-B44</t>
        </is>
      </c>
      <c r="M274" s="8" t="inlineStr">
        <is>
          <t>Phone</t>
        </is>
      </c>
      <c r="N274" s="8" t="inlineStr">
        <is>
          <t>Manual</t>
        </is>
      </c>
    </row>
    <row r="275">
      <c r="A275" s="8" t="inlineStr">
        <is>
          <t>274</t>
        </is>
      </c>
      <c r="B275" s="8" t="inlineStr">
        <is>
          <t>Owner – Finances</t>
        </is>
      </c>
      <c r="C275" s="9" t="inlineStr">
        <is>
          <t>Add a rent payment once, even with a double click</t>
        </is>
      </c>
      <c r="D275" s="8" t="inlineStr">
        <is>
          <t>Dashboard &gt; Finances &gt; Add transaction, choose Rent received, enter an amount and double-click Save.</t>
        </is>
      </c>
      <c r="E275" s="8" t="inlineStr">
        <is>
          <t>One entry is added and Rent collected rises by that amount once.</t>
        </is>
      </c>
      <c r="F275" s="10" t="inlineStr">
        <is>
          <t>Open</t>
        </is>
      </c>
      <c r="G275" s="10" t="n"/>
      <c r="H275" s="11" t="inlineStr">
        <is>
          <t>Not tested</t>
        </is>
      </c>
      <c r="I275" s="8" t="inlineStr">
        <is>
          <t>RETEST: fixed in code + e2e on 2026-10-15 (QA-B43). Previous result: Fail. QA 2026-10-15 (by hand) owner at 1366x768 Chromium: two entries saved, Rent collected ₹52,000 for one ₹26,000 payment. Steps/expected/actual: tasks/todo.md QA-B43. Evidence mt05-d1366-fin-after.png.</t>
        </is>
      </c>
      <c r="J275" s="8" t="inlineStr">
        <is>
          <t>Owner</t>
        </is>
      </c>
      <c r="K275" s="8" t="inlineStr">
        <is>
          <t>Medium</t>
        </is>
      </c>
      <c r="L275" s="8" t="inlineStr">
        <is>
          <t>QA-B43</t>
        </is>
      </c>
      <c r="M275" s="8" t="inlineStr">
        <is>
          <t>Desktop</t>
        </is>
      </c>
      <c r="N275" s="8" t="inlineStr">
        <is>
          <t>Manual</t>
        </is>
      </c>
    </row>
    <row r="276">
      <c r="A276" s="8" t="inlineStr">
        <is>
          <t>275</t>
        </is>
      </c>
      <c r="B276" s="8" t="inlineStr">
        <is>
          <t>Owner ↔ Tenant</t>
        </is>
      </c>
      <c r="C276" s="9" t="inlineStr">
        <is>
          <t>Reopen a rented listing</t>
        </is>
      </c>
      <c r="D276" s="8" t="inlineStr">
        <is>
          <t>On a Rented listing press Reopen.</t>
        </is>
      </c>
      <c r="E276" s="8" t="inlineStr">
        <is>
          <t>Listing goes back to "Under review" and returns live after staff approve; any old tenancy is ended.</t>
        </is>
      </c>
      <c r="F276" s="10" t="inlineStr">
        <is>
          <t>Open</t>
        </is>
      </c>
      <c r="G276" s="10" t="n"/>
      <c r="H276" s="11" t="inlineStr">
        <is>
          <t>Pass</t>
        </is>
      </c>
      <c r="I276" s="8" t="inlineStr">
        <is>
          <t>QA 2026-10-15 (by hand) owner at 1366: Reopen &gt; listing Under review (My Properties at 390) &gt; staff approved &gt; live again. Double click gave a 409 (QA-B41).</t>
        </is>
      </c>
      <c r="J276" s="8" t="inlineStr">
        <is>
          <t>Owner; Staff</t>
        </is>
      </c>
      <c r="K276" s="8" t="inlineStr">
        <is>
          <t>Medium</t>
        </is>
      </c>
      <c r="L276" s="8" t="inlineStr">
        <is>
          <t>QA-B41</t>
        </is>
      </c>
      <c r="M276" s="8" t="inlineStr">
        <is>
          <t>Both</t>
        </is>
      </c>
      <c r="N276" s="8" t="inlineStr">
        <is>
          <t>Manual</t>
        </is>
      </c>
    </row>
    <row r="277">
      <c r="A277" s="8" t="inlineStr">
        <is>
          <t>276</t>
        </is>
      </c>
      <c r="B277" s="8" t="inlineStr">
        <is>
          <t>Layout – Phone</t>
        </is>
      </c>
      <c r="C277" s="9" t="inlineStr">
        <is>
          <t>Admin menu on a phone: every section can be scrolled to and tapped</t>
        </is>
      </c>
      <c r="D277" s="8" t="inlineStr">
        <is>
          <t>As admin on a phone (360x640 and in landscape), open the menu, scroll to the last item (Error log) and tap it.</t>
        </is>
      </c>
      <c r="E277" s="8" t="inlineStr">
        <is>
          <t>The menu scrolls on its own, the last item is fully visible and opens its page.</t>
        </is>
      </c>
      <c r="F277" s="10" t="inlineStr">
        <is>
          <t>Open</t>
        </is>
      </c>
      <c r="G277" s="10" t="n"/>
      <c r="H277" s="11" t="inlineStr">
        <is>
          <t>Pass</t>
        </is>
      </c>
      <c r="I277" s="8" t="inlineStr">
        <is>
          <t>QA 2026-10-15 (by hand) admin at 360x640 and 844x390: 29 links, menu scrolls inside itself, Error log visible and opens /admin/error-log. Evidence mt10-p360-menu-last.png.</t>
        </is>
      </c>
      <c r="J277" s="8" t="inlineStr">
        <is>
          <t>Admin</t>
        </is>
      </c>
      <c r="K277" s="8" t="inlineStr">
        <is>
          <t>High</t>
        </is>
      </c>
      <c r="L277" s="8" t="n"/>
      <c r="M277" s="8" t="inlineStr">
        <is>
          <t>Phone</t>
        </is>
      </c>
      <c r="N277" s="8" t="inlineStr">
        <is>
          <t>Manual</t>
        </is>
      </c>
    </row>
    <row r="278">
      <c r="A278" s="8" t="inlineStr">
        <is>
          <t>277</t>
        </is>
      </c>
      <c r="B278" s="8" t="inlineStr">
        <is>
          <t>Layout – Desktop</t>
        </is>
      </c>
      <c r="C278" s="9" t="inlineStr">
        <is>
          <t>Admin side menu stays in place and scrolls on its own</t>
        </is>
      </c>
      <c r="D278" s="8" t="inlineStr">
        <is>
          <t>As admin at 1366x768 open Users, scroll the page down, then scroll over the side menu.</t>
        </is>
      </c>
      <c r="E278" s="8" t="inlineStr">
        <is>
          <t>The side menu stays put while the page scrolls; the menu scrolls separately to its last item.</t>
        </is>
      </c>
      <c r="F278" s="10" t="inlineStr">
        <is>
          <t>Open</t>
        </is>
      </c>
      <c r="G278" s="10" t="n"/>
      <c r="H278" s="11" t="inlineStr">
        <is>
          <t>Pass</t>
        </is>
      </c>
      <c r="I278" s="8" t="inlineStr">
        <is>
          <t>QA 2026-10-15 (by hand) admin 1366x768: side menu stayed at y=64 while page scrolled 2415px; menu scrolled on its own; last item opens. All 32 admin pages also checked at 1920x1080 with no sideways scroll or console errors.</t>
        </is>
      </c>
      <c r="J278" s="8" t="inlineStr">
        <is>
          <t>Admin</t>
        </is>
      </c>
      <c r="K278" s="8" t="inlineStr">
        <is>
          <t>Medium</t>
        </is>
      </c>
      <c r="L278" s="8" t="n"/>
      <c r="M278" s="8" t="inlineStr">
        <is>
          <t>Desktop</t>
        </is>
      </c>
      <c r="N278" s="8" t="inlineStr">
        <is>
          <t>Manual</t>
        </is>
      </c>
    </row>
    <row r="279">
      <c r="A279" s="8" t="inlineStr">
        <is>
          <t>278</t>
        </is>
      </c>
      <c r="B279" s="8" t="inlineStr">
        <is>
          <t>Role access</t>
        </is>
      </c>
      <c r="C279" s="9" t="inlineStr">
        <is>
          <t>Staff cannot open admin-only pages, by link or by API</t>
        </is>
      </c>
      <c r="D279" s="8" t="inlineStr">
        <is>
          <t>Sign in as staff (lowest level). Type /admin/settings, /admin/refunds, /admin/error-log etc. in the address bar, and call their APIs.</t>
        </is>
      </c>
      <c r="E279" s="8" t="inlineStr">
        <is>
          <t>Pages send you back to the staff dashboard; the server answers 403.</t>
        </is>
      </c>
      <c r="F279" s="10" t="inlineStr">
        <is>
          <t>Open</t>
        </is>
      </c>
      <c r="G279" s="10" t="n"/>
      <c r="H279" s="11" t="inlineStr">
        <is>
          <t>Pass</t>
        </is>
      </c>
      <c r="I279" s="8" t="inlineStr">
        <is>
          <t>QA 2026-10-15 staff 9000000101 at 1366: 16 admin-only pages redirect to /staff; GET/PUT /admin/settings, /admin/refunds, /admin/error-log, /admin/erasure-requests, /admin/integrations, /admin/help-feedback, /admin/staff-activity = 403 for staff and buyer, 401 for guest; manager allowed refunds and staff-activity only.</t>
        </is>
      </c>
      <c r="J279" s="8" t="inlineStr">
        <is>
          <t>Staff; Manager; Buyer; Guest</t>
        </is>
      </c>
      <c r="K279" s="8" t="inlineStr">
        <is>
          <t>Critical</t>
        </is>
      </c>
      <c r="L279" s="8" t="n"/>
      <c r="M279" s="8" t="inlineStr">
        <is>
          <t>Desktop</t>
        </is>
      </c>
      <c r="N279" s="8" t="inlineStr">
        <is>
          <t>Both</t>
        </is>
      </c>
    </row>
    <row r="280">
      <c r="A280" s="8" t="inlineStr">
        <is>
          <t>279</t>
        </is>
      </c>
      <c r="B280" s="8" t="inlineStr">
        <is>
          <t>Interactions – Selections</t>
        </is>
      </c>
      <c r="C280" s="9" t="inlineStr">
        <is>
          <t>Double-click on "create" buttons</t>
        </is>
      </c>
      <c r="D280" s="8" t="inlineStr">
        <is>
          <t>Double-click (or double-tap) the main create/submit button on: Create group, Submit ticket, Request quote, Pay, Create alert, Renew.</t>
        </is>
      </c>
      <c r="E280" s="8" t="inlineStr">
        <is>
          <t>Only one item is created each time; the button disables while it works.</t>
        </is>
      </c>
      <c r="F280" s="10" t="inlineStr">
        <is>
          <t>Open</t>
        </is>
      </c>
      <c r="G280" s="10" t="n"/>
      <c r="H280" s="11" t="inlineStr">
        <is>
          <t>Not tested</t>
        </is>
      </c>
      <c r="I280" s="8" t="inlineStr">
        <is>
          <t>RETEST: fixed in code + e2e on 2026-10-15 (QA-B51; QA-B55). Previous result: Fail. QA 2026-10-15: Pay, Request Free Quote, Book Consultation, Request Valuation, Get Loan Offers, Create alert, staff Publish all made ONE item. FAILED: Create group made 2 groups (QA-B51); Submit ticket made 2 tickets (QA-B55). Renew sent 2 requests but no harm. Env Chromium 390x844 and 1366x768.</t>
        </is>
      </c>
      <c r="J280" s="8" t="inlineStr">
        <is>
          <t>Buyer, Tenant, Owner, Flatmate seeker</t>
        </is>
      </c>
      <c r="K280" s="8" t="inlineStr">
        <is>
          <t>Medium</t>
        </is>
      </c>
      <c r="L280" s="8" t="inlineStr">
        <is>
          <t>QA-B51; QA-B55</t>
        </is>
      </c>
      <c r="M280" s="8" t="inlineStr">
        <is>
          <t>Both</t>
        </is>
      </c>
      <c r="N280" s="8" t="inlineStr">
        <is>
          <t>Manual</t>
        </is>
      </c>
    </row>
    <row r="281">
      <c r="A281" s="8" t="inlineStr">
        <is>
          <t>280</t>
        </is>
      </c>
      <c r="B281" s="8" t="inlineStr">
        <is>
          <t>Layout – Phone</t>
        </is>
      </c>
      <c r="C281" s="9" t="inlineStr">
        <is>
          <t>Prices and room counts read cleanly on cards</t>
        </is>
      </c>
      <c r="D281" s="8" t="inlineStr">
        <is>
          <t>On a phone open Home (Featured properties), Listings, Dashboard &gt; My Properties and the admin Duplicates tab. Read the price and BHK line on each card.</t>
        </is>
      </c>
      <c r="E281" s="8" t="inlineStr">
        <is>
          <t>Rent shows once as "₹95,000/mo"; BHK appears once ("2 BHK"); every price has the rupee sign and commas.</t>
        </is>
      </c>
      <c r="F281" s="10" t="inlineStr">
        <is>
          <t>Open</t>
        </is>
      </c>
      <c r="G281" s="10" t="n"/>
      <c r="H281" s="11" t="inlineStr">
        <is>
          <t>Not tested</t>
        </is>
      </c>
      <c r="I281" s="8" t="inlineStr">
        <is>
          <t>RETEST: fixed in code + e2e on 2026-10-15 (QA-B24; QA-B26; QA-B67). Previous result: Fail. QA 2026-10-15 (by hand, Chromium). Steps: open each page above. Expected: clean price/BHK text. Actual: Home rent cards "₹95,000/mo /mo" (QA-B24); My Properties "2 BHK BHK - Unfurnished" (QA-B26); admin Duplicates at 1366 shows "32000" with no ₹ or commas (QA-B67, evidence mt29b-d1366-dup-tab.png). Full repro lines in tasks/todo.md.</t>
        </is>
      </c>
      <c r="J281" s="8" t="inlineStr">
        <is>
          <t>Guest; Owner; Staff</t>
        </is>
      </c>
      <c r="K281" s="8" t="inlineStr">
        <is>
          <t>Low</t>
        </is>
      </c>
      <c r="L281" s="8" t="inlineStr">
        <is>
          <t>QA-B24; QA-B26; QA-B67</t>
        </is>
      </c>
      <c r="M281" s="8" t="inlineStr">
        <is>
          <t>Both</t>
        </is>
      </c>
      <c r="N281" s="8" t="inlineStr">
        <is>
          <t>Manual</t>
        </is>
      </c>
    </row>
    <row r="282">
      <c r="A282" s="8" t="inlineStr">
        <is>
          <t>281</t>
        </is>
      </c>
      <c r="B282" s="8" t="inlineStr">
        <is>
          <t>Layout – Desktop</t>
        </is>
      </c>
      <c r="C282" s="9" t="inlineStr">
        <is>
          <t>Property page opens with no errors in the browser console</t>
        </is>
      </c>
      <c r="D282" s="8" t="inlineStr">
        <is>
          <t>Open any live listing as a buyer with the browser console open (F12).</t>
        </is>
      </c>
      <c r="E282" s="8" t="inlineStr">
        <is>
          <t>The page loads with no red errors in the console.</t>
        </is>
      </c>
      <c r="F282" s="10" t="inlineStr">
        <is>
          <t>Open</t>
        </is>
      </c>
      <c r="G282" s="10" t="n"/>
      <c r="H282" s="11" t="inlineStr">
        <is>
          <t>Not tested</t>
        </is>
      </c>
      <c r="I282" s="8" t="inlineStr">
        <is>
          <t>RETEST: fixed in code + e2e on 2026-10-15 (QA-B36). Previous result: Fail. QA 2026-10-15 (by hand, Chromium, console watched): every listing opened by a buyer logs "404 GET /api/finalization/{id}/status" when no finalize request exists (QA-B36). The page itself works. Repro line in tasks/todo.md.</t>
        </is>
      </c>
      <c r="J282" s="8" t="inlineStr">
        <is>
          <t>Buyer; Tenant</t>
        </is>
      </c>
      <c r="K282" s="8" t="inlineStr">
        <is>
          <t>Low</t>
        </is>
      </c>
      <c r="L282" s="8" t="inlineStr">
        <is>
          <t>QA-B36</t>
        </is>
      </c>
      <c r="M282" s="8" t="inlineStr">
        <is>
          <t>Desktop</t>
        </is>
      </c>
      <c r="N282" s="8" t="inlineStr">
        <is>
          <t>Manual</t>
        </is>
      </c>
    </row>
    <row r="283">
      <c r="A283" s="8" t="inlineStr">
        <is>
          <t>282</t>
        </is>
      </c>
      <c r="B283" s="8" t="inlineStr">
        <is>
          <t>Owner ↔ Tenant</t>
        </is>
      </c>
      <c r="C283" s="9" t="inlineStr">
        <is>
          <t>Wording on renting screens is right for the person reading it</t>
        </is>
      </c>
      <c r="D283" s="8" t="inlineStr">
        <is>
          <t>Open the contact sheet on a rent listing, a sale listing as a buyer, the tenant profile page, and the dashboard as an owner.</t>
        </is>
      </c>
      <c r="E283" s="8" t="inlineStr">
        <is>
          <t>Labels fit the person and listing: no doubled "(optional)", no tenant badge offer on a sale listing, owner is not labelled "Buyer / Tenant".</t>
        </is>
      </c>
      <c r="F283" s="10" t="inlineStr">
        <is>
          <t>Open</t>
        </is>
      </c>
      <c r="G283" s="10" t="n"/>
      <c r="H283" s="11" t="inlineStr">
        <is>
          <t>Not tested</t>
        </is>
      </c>
      <c r="I283" s="8" t="inlineStr">
        <is>
          <t>RETEST: fixed in code + e2e on 2026-10-15 (QA-B45). Previous result: Fail. QA 2026-10-15 (by hand, Chromium): "Send a quick message ((optional))" in the contact sheet; "Get a Verified Tenant badge" on a sale listing; tenant profile promises a "Serious Buyer badge"; dashboard labels an owner "Buyer / Tenant" (QA-B45). Repro line in tasks/todo.md.</t>
        </is>
      </c>
      <c r="J283" s="8" t="inlineStr">
        <is>
          <t>Buyer; Tenant; Owner</t>
        </is>
      </c>
      <c r="K283" s="8" t="inlineStr">
        <is>
          <t>Low</t>
        </is>
      </c>
      <c r="L283" s="8" t="inlineStr">
        <is>
          <t>QA-B45</t>
        </is>
      </c>
      <c r="M283" s="8" t="inlineStr">
        <is>
          <t>Both</t>
        </is>
      </c>
      <c r="N283" s="8" t="inlineStr">
        <is>
          <t>Manual</t>
        </is>
      </c>
    </row>
    <row r="284">
      <c r="A284" s="8" t="inlineStr">
        <is>
          <t>283</t>
        </is>
      </c>
      <c r="B284" s="8" t="inlineStr">
        <is>
          <t>Contact – WhatsApp chat</t>
        </is>
      </c>
      <c r="C284" s="9" t="inlineStr">
        <is>
          <t>Support WhatsApp buttons</t>
        </is>
      </c>
      <c r="D284" s="8" t="inlineStr">
        <is>
          <t>On /contact tap WhatsApp; on /support tap the WhatsApp contact card.</t>
        </is>
      </c>
      <c r="E284" s="8" t="inlineStr">
        <is>
          <t>Both open wa.me/918728872895 and show the Draazy business profile; /contact prefills "Hi Draazy, I need help with a property enquiry.", /support opens with no text.</t>
        </is>
      </c>
      <c r="F284" s="10" t="inlineStr">
        <is>
          <t>Open</t>
        </is>
      </c>
      <c r="G284" s="10" t="n"/>
      <c r="H284" s="11" t="inlineStr">
        <is>
          <t>Not tested</t>
        </is>
      </c>
      <c r="I284" s="8" t="inlineStr">
        <is>
          <t>Added 2026-10-15 for the next pass.</t>
        </is>
      </c>
      <c r="J284" s="8" t="inlineStr">
        <is>
          <t>Guest</t>
        </is>
      </c>
      <c r="K284" s="8" t="inlineStr">
        <is>
          <t>Medium</t>
        </is>
      </c>
      <c r="L284" s="8" t="inlineStr">
        <is>
          <t>WA-01</t>
        </is>
      </c>
      <c r="M284" s="8" t="inlineStr">
        <is>
          <t>Both</t>
        </is>
      </c>
      <c r="N284" s="8" t="n"/>
    </row>
    <row r="285">
      <c r="A285" s="8" t="inlineStr">
        <is>
          <t>284</t>
        </is>
      </c>
      <c r="B285" s="8" t="inlineStr">
        <is>
          <t>Contact – WhatsApp chat</t>
        </is>
      </c>
      <c r="C285" s="9" t="inlineStr">
        <is>
          <t>WhatsApp on a property only after the contact gate</t>
        </is>
      </c>
      <c r="D285" s="8" t="inlineStr">
        <is>
          <t>Open a property's contact sheet and owner card before and after the owner shares the number.</t>
        </is>
      </c>
      <c r="E285" s="8" t="inlineStr">
        <is>
          <t>No WhatsApp link while the number is masked or locked; once shared, WhatsApp opens the owner's number.</t>
        </is>
      </c>
      <c r="F285" s="10" t="inlineStr">
        <is>
          <t>Open</t>
        </is>
      </c>
      <c r="G285" s="10" t="inlineStr">
        <is>
          <t>Help</t>
        </is>
      </c>
      <c r="H285" s="11" t="inlineStr">
        <is>
          <t>Not tested</t>
        </is>
      </c>
      <c r="I285" s="8" t="inlineStr">
        <is>
          <t>Added 2026-10-15 for the next pass.</t>
        </is>
      </c>
      <c r="J285" s="8" t="inlineStr">
        <is>
          <t>Buyer, Tenant</t>
        </is>
      </c>
      <c r="K285" s="8" t="inlineStr">
        <is>
          <t>High</t>
        </is>
      </c>
      <c r="L285" s="8" t="inlineStr">
        <is>
          <t>WA-02</t>
        </is>
      </c>
      <c r="M285" s="8" t="inlineStr">
        <is>
          <t>Both</t>
        </is>
      </c>
      <c r="N285" s="8" t="n"/>
    </row>
    <row r="286">
      <c r="A286" s="8" t="inlineStr">
        <is>
          <t>285</t>
        </is>
      </c>
      <c r="B286" s="8" t="inlineStr">
        <is>
          <t>Contact – WhatsApp chat</t>
        </is>
      </c>
      <c r="C286" s="9" t="inlineStr">
        <is>
          <t>Owner profile WhatsApp buttons</t>
        </is>
      </c>
      <c r="D286" s="8" t="inlineStr">
        <is>
          <t>Open an owner's profile; tap WhatsApp in the header, the desktop side card and the phone bottom bar.</t>
        </is>
      </c>
      <c r="E286" s="8" t="inlineStr">
        <is>
          <t>Each opens the owner's number with "Hi {first name}, I saw your profile on Draazy…" using the right name.</t>
        </is>
      </c>
      <c r="F286" s="10" t="inlineStr">
        <is>
          <t>Open</t>
        </is>
      </c>
      <c r="G286" s="10" t="n"/>
      <c r="H286" s="11" t="inlineStr">
        <is>
          <t>Not tested</t>
        </is>
      </c>
      <c r="I286" s="8" t="inlineStr">
        <is>
          <t>Added 2026-10-15 for the next pass.</t>
        </is>
      </c>
      <c r="J286" s="8" t="inlineStr">
        <is>
          <t>Buyer</t>
        </is>
      </c>
      <c r="K286" s="8" t="inlineStr">
        <is>
          <t>Low</t>
        </is>
      </c>
      <c r="L286" s="8" t="inlineStr">
        <is>
          <t>WA-03</t>
        </is>
      </c>
      <c r="M286" s="8" t="inlineStr">
        <is>
          <t>Both</t>
        </is>
      </c>
      <c r="N286" s="8" t="n"/>
    </row>
    <row r="287">
      <c r="A287" s="8" t="inlineStr">
        <is>
          <t>286</t>
        </is>
      </c>
      <c r="B287" s="8" t="inlineStr">
        <is>
          <t>Contact – WhatsApp chat</t>
        </is>
      </c>
      <c r="C287" s="9" t="inlineStr">
        <is>
          <t>Visit texts from owner to visitor</t>
        </is>
      </c>
      <c r="D287" s="8" t="inlineStr">
        <is>
          <t>As owner on Dashboard &gt; Visits, tap WhatsApp on a confirmed, cancelled/no-show, pending and rescheduled visit.</t>
        </is>
      </c>
      <c r="E287" s="8" t="inlineStr">
        <is>
          <t>Each text names the right listing, date and time.</t>
        </is>
      </c>
      <c r="F287" s="10" t="inlineStr">
        <is>
          <t>Open</t>
        </is>
      </c>
      <c r="G287" s="10" t="inlineStr">
        <is>
          <t>Help</t>
        </is>
      </c>
      <c r="H287" s="11" t="inlineStr">
        <is>
          <t>Not tested</t>
        </is>
      </c>
      <c r="I287" s="8" t="inlineStr">
        <is>
          <t>Added 2026-10-15 for the next pass.</t>
        </is>
      </c>
      <c r="J287" s="8" t="inlineStr">
        <is>
          <t>Owner</t>
        </is>
      </c>
      <c r="K287" s="8" t="inlineStr">
        <is>
          <t>Medium</t>
        </is>
      </c>
      <c r="L287" s="8" t="inlineStr">
        <is>
          <t>WA-04</t>
        </is>
      </c>
      <c r="M287" s="8" t="inlineStr">
        <is>
          <t>Both</t>
        </is>
      </c>
      <c r="N287" s="8" t="n"/>
    </row>
    <row r="288">
      <c r="A288" s="8" t="inlineStr">
        <is>
          <t>287</t>
        </is>
      </c>
      <c r="B288" s="8" t="inlineStr">
        <is>
          <t>Contact – WhatsApp chat</t>
        </is>
      </c>
      <c r="C288" s="9" t="inlineStr">
        <is>
          <t>WhatsApp in chat and dashboard contacts</t>
        </is>
      </c>
      <c r="D288" s="8" t="inlineStr">
        <is>
          <t>Open a chat thread header and the dashboard contact buttons while the number is locked, then after it is shared.</t>
        </is>
      </c>
      <c r="E288" s="8" t="inlineStr">
        <is>
          <t>WhatsApp shows only once the number is unlocked and opens the other person with no text.</t>
        </is>
      </c>
      <c r="F288" s="10" t="inlineStr">
        <is>
          <t>Open</t>
        </is>
      </c>
      <c r="G288" s="10" t="n"/>
      <c r="H288" s="11" t="inlineStr">
        <is>
          <t>Not tested</t>
        </is>
      </c>
      <c r="I288" s="8" t="inlineStr">
        <is>
          <t>Added 2026-10-15 for the next pass.</t>
        </is>
      </c>
      <c r="J288" s="8" t="inlineStr">
        <is>
          <t>Buyer, Owner</t>
        </is>
      </c>
      <c r="K288" s="8" t="inlineStr">
        <is>
          <t>Medium</t>
        </is>
      </c>
      <c r="L288" s="8" t="inlineStr">
        <is>
          <t>WA-05</t>
        </is>
      </c>
      <c r="M288" s="8" t="inlineStr">
        <is>
          <t>Both</t>
        </is>
      </c>
      <c r="N288" s="8" t="n"/>
    </row>
    <row r="289">
      <c r="A289" s="8" t="inlineStr">
        <is>
          <t>288</t>
        </is>
      </c>
      <c r="B289" s="8" t="inlineStr">
        <is>
          <t>Contact – WhatsApp chat</t>
        </is>
      </c>
      <c r="C289" s="9" t="inlineStr">
        <is>
          <t>Rent agreement invite on WhatsApp</t>
        </is>
      </c>
      <c r="D289" s="8" t="inlineStr">
        <is>
          <t>Owner invites a tenant to fill their part of a rent agreement and taps "Send on WhatsApp".</t>
        </is>
      </c>
      <c r="E289" s="8" t="inlineStr">
        <is>
          <t>Opens the tenant's number with the invite link and the sign-up link; both links open and work for the tenant.</t>
        </is>
      </c>
      <c r="F289" s="10" t="inlineStr">
        <is>
          <t>Open</t>
        </is>
      </c>
      <c r="G289" s="10" t="inlineStr">
        <is>
          <t>Help</t>
        </is>
      </c>
      <c r="H289" s="11" t="inlineStr">
        <is>
          <t>Not tested</t>
        </is>
      </c>
      <c r="I289" s="8" t="inlineStr">
        <is>
          <t>Added 2026-10-15 for the next pass.</t>
        </is>
      </c>
      <c r="J289" s="8" t="inlineStr">
        <is>
          <t>Owner, Tenant</t>
        </is>
      </c>
      <c r="K289" s="8" t="inlineStr">
        <is>
          <t>Medium</t>
        </is>
      </c>
      <c r="L289" s="8" t="inlineStr">
        <is>
          <t>WA-06</t>
        </is>
      </c>
      <c r="M289" s="8" t="inlineStr">
        <is>
          <t>Both</t>
        </is>
      </c>
      <c r="N289" s="8" t="n"/>
    </row>
    <row r="290">
      <c r="A290" s="8" t="inlineStr">
        <is>
          <t>289</t>
        </is>
      </c>
      <c r="B290" s="8" t="inlineStr">
        <is>
          <t>Contact – WhatsApp chat</t>
        </is>
      </c>
      <c r="C290" s="9" t="inlineStr">
        <is>
          <t>Share to WhatsApp</t>
        </is>
      </c>
      <c r="D290" s="8" t="inlineStr">
        <is>
          <t>Share a property, your Refer &amp; earn link and a reel to WhatsApp.</t>
        </is>
      </c>
      <c r="E290" s="8" t="inlineStr">
        <is>
          <t>WhatsApp opens the contact picker with the text; the link and referral code in it open the right page.</t>
        </is>
      </c>
      <c r="F290" s="10" t="inlineStr">
        <is>
          <t>Open</t>
        </is>
      </c>
      <c r="G290" s="10" t="n"/>
      <c r="H290" s="11" t="inlineStr">
        <is>
          <t>Not tested</t>
        </is>
      </c>
      <c r="I290" s="8" t="inlineStr">
        <is>
          <t>Added 2026-10-15 for the next pass.</t>
        </is>
      </c>
      <c r="J290" s="8" t="inlineStr">
        <is>
          <t>Guest, Buyer</t>
        </is>
      </c>
      <c r="K290" s="8" t="inlineStr">
        <is>
          <t>Low</t>
        </is>
      </c>
      <c r="L290" s="8" t="inlineStr">
        <is>
          <t>WA-07</t>
        </is>
      </c>
      <c r="M290" s="8" t="inlineStr">
        <is>
          <t>Both</t>
        </is>
      </c>
      <c r="N290" s="8" t="n"/>
    </row>
    <row r="291">
      <c r="A291" s="8" t="inlineStr">
        <is>
          <t>290</t>
        </is>
      </c>
      <c r="B291" s="8" t="inlineStr">
        <is>
          <t>Contact – WhatsApp chat</t>
        </is>
      </c>
      <c r="C291" s="9" t="inlineStr">
        <is>
          <t>Staff outreach on WhatsApp</t>
        </is>
      </c>
      <c r="D291" s="8" t="inlineStr">
        <is>
          <t>From the support number on WhatsApp Web: Post on Behalf &gt; Send claim link on WhatsApp &gt; I've sent it; Property review templates &gt; Mark sent; Needs Follow-up gentle / stale / dormant texts.</t>
        </is>
      </c>
      <c r="E291" s="8" t="inlineStr">
        <is>
          <t>The listing moves to Link sent and the Communication log records each send; every placeholder is filled (₹ with Indian grouping, claim link opens /signin?claim=); only {market_rate} may stay in braces.</t>
        </is>
      </c>
      <c r="F291" s="10" t="inlineStr">
        <is>
          <t>Open</t>
        </is>
      </c>
      <c r="G291" s="10" t="n"/>
      <c r="H291" s="11" t="inlineStr">
        <is>
          <t>Not tested</t>
        </is>
      </c>
      <c r="I291" s="8" t="inlineStr">
        <is>
          <t>Added 2026-10-15 for the next pass.</t>
        </is>
      </c>
      <c r="J291" s="8" t="inlineStr">
        <is>
          <t>Staff</t>
        </is>
      </c>
      <c r="K291" s="8" t="inlineStr">
        <is>
          <t>Medium</t>
        </is>
      </c>
      <c r="L291" s="8" t="inlineStr">
        <is>
          <t>WA-08</t>
        </is>
      </c>
      <c r="M291" s="8" t="inlineStr">
        <is>
          <t>Both</t>
        </is>
      </c>
      <c r="N291" s="8" t="n"/>
    </row>
    <row r="292">
      <c r="A292" s="8" t="inlineStr">
        <is>
          <t>291</t>
        </is>
      </c>
      <c r="B292" s="8" t="inlineStr">
        <is>
          <t>Contact – WhatsApp chat</t>
        </is>
      </c>
      <c r="C292" s="9" t="inlineStr">
        <is>
          <t>WhatsApp text edge cases</t>
        </is>
      </c>
      <c r="D292" s="8" t="inlineStr">
        <is>
          <t>Repeat a few texts above in Hindi and Marathi; use a stored mobile with spaces or +91; open one on a desktop without WhatsApp.</t>
        </is>
      </c>
      <c r="E292" s="8" t="inlineStr">
        <is>
          <t>Language, emoji, ₹ and line breaks arrive intact; the right number opens; a desktop without WhatsApp shows the wa.me page, not a broken link.</t>
        </is>
      </c>
      <c r="F292" s="10" t="inlineStr">
        <is>
          <t>Open</t>
        </is>
      </c>
      <c r="G292" s="10" t="n"/>
      <c r="H292" s="11" t="inlineStr">
        <is>
          <t>Not tested</t>
        </is>
      </c>
      <c r="I292" s="8" t="inlineStr">
        <is>
          <t>Added 2026-10-15 for the next pass.</t>
        </is>
      </c>
      <c r="J292" s="8" t="inlineStr">
        <is>
          <t>Buyer, Owner</t>
        </is>
      </c>
      <c r="K292" s="8" t="inlineStr">
        <is>
          <t>Low</t>
        </is>
      </c>
      <c r="L292" s="8" t="inlineStr">
        <is>
          <t>WA-09</t>
        </is>
      </c>
      <c r="M292" s="8" t="inlineStr">
        <is>
          <t>Both</t>
        </is>
      </c>
      <c r="N292" s="8" t="n"/>
    </row>
    <row r="293">
      <c r="A293" s="8" t="inlineStr">
        <is>
          <t>292</t>
        </is>
      </c>
      <c r="B293" s="8" t="inlineStr">
        <is>
          <t>Security – Rate limits</t>
        </is>
      </c>
      <c r="C293" s="9" t="inlineStr">
        <is>
          <t>Daily login-code cap per number</t>
        </is>
      </c>
      <c r="D293" s="8" t="inlineStr">
        <is>
          <t>Ask for login codes for one number through the day, more than 10 in 24 hours.</t>
        </is>
      </c>
      <c r="E293" s="8" t="inlineStr">
        <is>
          <t>The 11th code in 24 hours is refused with "try again later".</t>
        </is>
      </c>
      <c r="F293" s="10" t="inlineStr">
        <is>
          <t>Open</t>
        </is>
      </c>
      <c r="G293" s="10" t="n"/>
      <c r="H293" s="11" t="inlineStr">
        <is>
          <t>Not tested</t>
        </is>
      </c>
      <c r="I293" s="8" t="inlineStr">
        <is>
          <t>Added 2026-10-15 for the next pass.</t>
        </is>
      </c>
      <c r="J293" s="8" t="inlineStr">
        <is>
          <t>Guest</t>
        </is>
      </c>
      <c r="K293" s="8" t="inlineStr">
        <is>
          <t>High</t>
        </is>
      </c>
      <c r="L293" s="8" t="inlineStr">
        <is>
          <t>OA-03</t>
        </is>
      </c>
      <c r="M293" s="8" t="inlineStr">
        <is>
          <t>Both</t>
        </is>
      </c>
      <c r="N293" s="8" t="n"/>
    </row>
    <row r="294">
      <c r="A294" s="8" t="inlineStr">
        <is>
          <t>293</t>
        </is>
      </c>
      <c r="B294" s="8" t="inlineStr">
        <is>
          <t>Payments</t>
        </is>
      </c>
      <c r="C294" s="9" t="inlineStr">
        <is>
          <t>Second live listing needs a Listing Pass</t>
        </is>
      </c>
      <c r="D294" s="8" t="inlineStr">
        <is>
          <t>As an owner with one live listing, post a second rent or sale listing and let staff approve it; then buy a Listing Pass for it (sandbox) or pause the first listing.</t>
        </is>
      </c>
      <c r="E294" s="8" t="inlineStr">
        <is>
          <t>Posting is never blocked; the second listing is approved but stays paused until a ₹999 pass covers it (live for 60 days) or the first listing is paused.</t>
        </is>
      </c>
      <c r="F294" s="10" t="inlineStr">
        <is>
          <t>Open</t>
        </is>
      </c>
      <c r="G294" s="10" t="inlineStr">
        <is>
          <t>Help</t>
        </is>
      </c>
      <c r="H294" s="11" t="inlineStr">
        <is>
          <t>Not tested</t>
        </is>
      </c>
      <c r="I294" s="8" t="inlineStr">
        <is>
          <t>Added 2026-10-15 for the next pass.</t>
        </is>
      </c>
      <c r="J294" s="8" t="inlineStr">
        <is>
          <t>Owner</t>
        </is>
      </c>
      <c r="K294" s="8" t="inlineStr">
        <is>
          <t>High</t>
        </is>
      </c>
      <c r="L294" s="8" t="inlineStr">
        <is>
          <t>M01</t>
        </is>
      </c>
      <c r="M294" s="8" t="inlineStr">
        <is>
          <t>Both</t>
        </is>
      </c>
      <c r="N294" s="8" t="n"/>
    </row>
    <row r="295">
      <c r="A295" s="8" t="inlineStr">
        <is>
          <t>294</t>
        </is>
      </c>
      <c r="B295" s="8" t="inlineStr">
        <is>
          <t>Payments</t>
        </is>
      </c>
      <c r="C295" s="9" t="inlineStr">
        <is>
          <t>Free contacts and Contact Pack</t>
        </is>
      </c>
      <c r="D295" s="8" t="inlineStr">
        <is>
          <t>As a new seeker, contact owners until the 15 free contacts run out; buy a Contact Pack (sandbox).</t>
        </is>
      </c>
      <c r="E295" s="8" t="inlineStr">
        <is>
          <t>The 16th contact asks you to buy a pack; a ₹199 pack adds 15 contacts valid 30 days and packs stack.</t>
        </is>
      </c>
      <c r="F295" s="10" t="inlineStr">
        <is>
          <t>Open</t>
        </is>
      </c>
      <c r="G295" s="10" t="inlineStr">
        <is>
          <t>Help</t>
        </is>
      </c>
      <c r="H295" s="11" t="inlineStr">
        <is>
          <t>Not tested</t>
        </is>
      </c>
      <c r="I295" s="8" t="inlineStr">
        <is>
          <t>Added 2026-10-15 for the next pass.</t>
        </is>
      </c>
      <c r="J295" s="8" t="inlineStr">
        <is>
          <t>Buyer, Tenant</t>
        </is>
      </c>
      <c r="K295" s="8" t="inlineStr">
        <is>
          <t>High</t>
        </is>
      </c>
      <c r="L295" s="8" t="inlineStr">
        <is>
          <t>M01</t>
        </is>
      </c>
      <c r="M295" s="8" t="inlineStr">
        <is>
          <t>Both</t>
        </is>
      </c>
      <c r="N295" s="8" t="n"/>
    </row>
    <row r="296">
      <c r="A296" s="8" t="inlineStr">
        <is>
          <t>295</t>
        </is>
      </c>
      <c r="B296" s="8" t="inlineStr">
        <is>
          <t>Payments</t>
        </is>
      </c>
      <c r="C296" s="9" t="inlineStr">
        <is>
          <t>Contact comes back when the owner declines or is silent</t>
        </is>
      </c>
      <c r="D296" s="8" t="inlineStr">
        <is>
          <t>Ask an owner for contact; owner declines (or does not reply for 7 days).</t>
        </is>
      </c>
      <c r="E296" s="8" t="inlineStr">
        <is>
          <t>The contact returns to your allowance on its own and you are told.</t>
        </is>
      </c>
      <c r="F296" s="10" t="inlineStr">
        <is>
          <t>Open</t>
        </is>
      </c>
      <c r="G296" s="10" t="inlineStr">
        <is>
          <t>Help</t>
        </is>
      </c>
      <c r="H296" s="11" t="inlineStr">
        <is>
          <t>Not tested</t>
        </is>
      </c>
      <c r="I296" s="8" t="inlineStr">
        <is>
          <t>Added 2026-10-15 for the next pass.</t>
        </is>
      </c>
      <c r="J296" s="8" t="inlineStr">
        <is>
          <t>Buyer, Owner</t>
        </is>
      </c>
      <c r="K296" s="8" t="inlineStr">
        <is>
          <t>Medium</t>
        </is>
      </c>
      <c r="L296" s="8" t="inlineStr">
        <is>
          <t>R02</t>
        </is>
      </c>
      <c r="M296" s="8" t="inlineStr">
        <is>
          <t>Both</t>
        </is>
      </c>
      <c r="N296" s="8" t="n"/>
    </row>
    <row r="297">
      <c r="A297" s="8" t="inlineStr">
        <is>
          <t>296</t>
        </is>
      </c>
      <c r="B297" s="8" t="inlineStr">
        <is>
          <t>Payments</t>
        </is>
      </c>
      <c r="C297" s="9" t="inlineStr">
        <is>
          <t>Refund an unused pack or a pass with no enquiries</t>
        </is>
      </c>
      <c r="D297" s="8" t="inlineStr">
        <is>
          <t>Within 7 days buy a Contact Pack and use none of it, or have a Listing Pass whose listing got no enquiries in 7 live days; open Plan &amp; Billing and tap Refund.</t>
        </is>
      </c>
      <c r="E297" s="8" t="inlineStr">
        <is>
          <t>The row shows "Refund · until {date}"; after the request the pack is frozen or the listing paused; staff approve it on /admin/refunds and a credit note is issued.</t>
        </is>
      </c>
      <c r="F297" s="10" t="inlineStr">
        <is>
          <t>Open</t>
        </is>
      </c>
      <c r="G297" s="10" t="inlineStr">
        <is>
          <t>Help</t>
        </is>
      </c>
      <c r="H297" s="11" t="inlineStr">
        <is>
          <t>Not tested</t>
        </is>
      </c>
      <c r="I297" s="8" t="inlineStr">
        <is>
          <t>Added 2026-10-15 for the next pass.</t>
        </is>
      </c>
      <c r="J297" s="8" t="inlineStr">
        <is>
          <t>Buyer, Owner, Admin</t>
        </is>
      </c>
      <c r="K297" s="8" t="inlineStr">
        <is>
          <t>High</t>
        </is>
      </c>
      <c r="L297" s="8" t="inlineStr">
        <is>
          <t>R02</t>
        </is>
      </c>
      <c r="M297" s="8" t="inlineStr">
        <is>
          <t>Both</t>
        </is>
      </c>
      <c r="N297" s="8" t="n"/>
    </row>
    <row r="298">
      <c r="A298" s="8" t="inlineStr">
        <is>
          <t>297</t>
        </is>
      </c>
      <c r="B298" s="8" t="inlineStr">
        <is>
          <t>Payments</t>
        </is>
      </c>
      <c r="C298" s="9" t="inlineStr">
        <is>
          <t>An order already open</t>
        </is>
      </c>
      <c r="D298" s="8" t="inlineStr">
        <is>
          <t>Start a checkout for a pass or pack, go back, and start another checkout for the same item.</t>
        </is>
      </c>
      <c r="E298" s="8" t="inlineStr">
        <is>
          <t>You are told an order is already open, with a button to cancel it and start again; only one order exists.</t>
        </is>
      </c>
      <c r="F298" s="10" t="inlineStr">
        <is>
          <t>Open</t>
        </is>
      </c>
      <c r="G298" s="10" t="n"/>
      <c r="H298" s="11" t="inlineStr">
        <is>
          <t>Not tested</t>
        </is>
      </c>
      <c r="I298" s="8" t="inlineStr">
        <is>
          <t>Added 2026-10-15 for the next pass.</t>
        </is>
      </c>
      <c r="J298" s="8" t="inlineStr">
        <is>
          <t>Owner, Buyer</t>
        </is>
      </c>
      <c r="K298" s="8" t="inlineStr">
        <is>
          <t>Medium</t>
        </is>
      </c>
      <c r="L298" s="8" t="inlineStr">
        <is>
          <t>QA-UPSTREAM-1</t>
        </is>
      </c>
      <c r="M298" s="8" t="inlineStr">
        <is>
          <t>Both</t>
        </is>
      </c>
      <c r="N298" s="8" t="n"/>
    </row>
    <row r="299">
      <c r="A299" s="8" t="inlineStr">
        <is>
          <t>298</t>
        </is>
      </c>
      <c r="B299" s="8" t="inlineStr">
        <is>
          <t>Owner</t>
        </is>
      </c>
      <c r="C299" s="9" t="inlineStr">
        <is>
          <t>Featured after ownership is verified</t>
        </is>
      </c>
      <c r="D299" s="8" t="inlineStr">
        <is>
          <t>Post a listing and have staff verify its ownership.</t>
        </is>
      </c>
      <c r="E299" s="8" t="inlineStr">
        <is>
          <t>The listing shows as Featured for the time the Plans page states (7 days), then drops back to normal.</t>
        </is>
      </c>
      <c r="F299" s="10" t="inlineStr">
        <is>
          <t>Open</t>
        </is>
      </c>
      <c r="G299" s="10" t="inlineStr">
        <is>
          <t>Help</t>
        </is>
      </c>
      <c r="H299" s="11" t="inlineStr">
        <is>
          <t>Not tested</t>
        </is>
      </c>
      <c r="I299" s="8" t="inlineStr">
        <is>
          <t>Added 2026-10-15 for the next pass.</t>
        </is>
      </c>
      <c r="J299" s="8" t="inlineStr">
        <is>
          <t>Owner, Staff</t>
        </is>
      </c>
      <c r="K299" s="8" t="inlineStr">
        <is>
          <t>Medium</t>
        </is>
      </c>
      <c r="L299" s="8" t="inlineStr">
        <is>
          <t>M01</t>
        </is>
      </c>
      <c r="M299" s="8" t="inlineStr">
        <is>
          <t>Both</t>
        </is>
      </c>
      <c r="N299" s="8" t="n"/>
    </row>
    <row r="300">
      <c r="A300" s="8" t="inlineStr">
        <is>
          <t>299</t>
        </is>
      </c>
      <c r="B300" s="8" t="inlineStr">
        <is>
          <t>Owner</t>
        </is>
      </c>
      <c r="C300" s="9" t="inlineStr">
        <is>
          <t>Available-from date and relist</t>
        </is>
      </c>
      <c r="D300" s="8" t="inlineStr">
        <is>
          <t>While posting, pick "Now", "15 days" or "30 days" or an exact date; later mark the listing rented and relist it with a new date.</t>
        </is>
      </c>
      <c r="E300" s="8" t="inlineStr">
        <is>
          <t>The listing shows the exact available-from date; relisting asks for the new date and shows it.</t>
        </is>
      </c>
      <c r="F300" s="10" t="inlineStr">
        <is>
          <t>Open</t>
        </is>
      </c>
      <c r="G300" s="10" t="inlineStr">
        <is>
          <t>Help</t>
        </is>
      </c>
      <c r="H300" s="11" t="inlineStr">
        <is>
          <t>Not tested</t>
        </is>
      </c>
      <c r="I300" s="8" t="inlineStr">
        <is>
          <t>Added 2026-10-15 for the next pass.</t>
        </is>
      </c>
      <c r="J300" s="8" t="inlineStr">
        <is>
          <t>Owner</t>
        </is>
      </c>
      <c r="K300" s="8" t="inlineStr">
        <is>
          <t>Medium</t>
        </is>
      </c>
      <c r="L300" s="8" t="inlineStr">
        <is>
          <t>M01</t>
        </is>
      </c>
      <c r="M300" s="8" t="inlineStr">
        <is>
          <t>Both</t>
        </is>
      </c>
      <c r="N300" s="8" t="n"/>
    </row>
    <row r="301">
      <c r="A301" s="8" t="inlineStr">
        <is>
          <t>300</t>
        </is>
      </c>
      <c r="B301" s="8" t="inlineStr">
        <is>
          <t>Payments</t>
        </is>
      </c>
      <c r="C301" s="9" t="inlineStr">
        <is>
          <t>Referral rewards by track</t>
        </is>
      </c>
      <c r="D301" s="8" t="inlineStr">
        <is>
          <t>Share your Refer a friend link; one friend signs up and posts a listing that gets verified, another signs up and has a contact request accepted. Also try your own code and a second account on the same device.</t>
        </is>
      </c>
      <c r="E301" s="8" t="inlineStr">
        <is>
          <t>Owner track: you get a free rent agreement, your friend longer Featured. Seeker track: both get owner contacts. Rewards land on Qualified (some wait in Checking); own code and same-device sign-ups earn nothing.</t>
        </is>
      </c>
      <c r="F301" s="10" t="inlineStr">
        <is>
          <t>Open</t>
        </is>
      </c>
      <c r="G301" s="10" t="inlineStr">
        <is>
          <t>Help</t>
        </is>
      </c>
      <c r="H301" s="11" t="inlineStr">
        <is>
          <t>Not tested</t>
        </is>
      </c>
      <c r="I301" s="8" t="inlineStr">
        <is>
          <t>Added 2026-10-15 for the next pass.</t>
        </is>
      </c>
      <c r="J301" s="8" t="inlineStr">
        <is>
          <t>Buyer, Owner</t>
        </is>
      </c>
      <c r="K301" s="8" t="inlineStr">
        <is>
          <t>High</t>
        </is>
      </c>
      <c r="L301" s="8" t="inlineStr">
        <is>
          <t>R01</t>
        </is>
      </c>
      <c r="M301" s="8" t="inlineStr">
        <is>
          <t>Both</t>
        </is>
      </c>
      <c r="N301" s="8" t="n"/>
    </row>
    <row r="302">
      <c r="A302" s="8" t="inlineStr">
        <is>
          <t>301</t>
        </is>
      </c>
      <c r="B302" s="8" t="inlineStr">
        <is>
          <t>Search</t>
        </is>
      </c>
      <c r="C302" s="9" t="inlineStr">
        <is>
          <t>Search forgives spelling mistakes</t>
        </is>
      </c>
      <c r="D302" s="8" t="inlineStr">
        <is>
          <t>Search for a misspelt locality, e.g. "Kotrud" or "Banr".</t>
        </is>
      </c>
      <c r="E302" s="8" t="inlineStr">
        <is>
          <t>Results for Kothrud or Baner still appear.</t>
        </is>
      </c>
      <c r="F302" s="10" t="inlineStr">
        <is>
          <t>Open</t>
        </is>
      </c>
      <c r="G302" s="10" t="inlineStr">
        <is>
          <t>Help</t>
        </is>
      </c>
      <c r="H302" s="11" t="inlineStr">
        <is>
          <t>Not tested</t>
        </is>
      </c>
      <c r="I302" s="8" t="inlineStr">
        <is>
          <t>Added 2026-10-15 for the next pass.</t>
        </is>
      </c>
      <c r="J302" s="8" t="inlineStr">
        <is>
          <t>Guest</t>
        </is>
      </c>
      <c r="K302" s="8" t="inlineStr">
        <is>
          <t>Medium</t>
        </is>
      </c>
      <c r="L302" s="8" t="inlineStr">
        <is>
          <t>AI-01</t>
        </is>
      </c>
      <c r="M302" s="8" t="inlineStr">
        <is>
          <t>Both</t>
        </is>
      </c>
      <c r="N302" s="8" t="n"/>
    </row>
    <row r="303">
      <c r="A303" s="8" t="inlineStr">
        <is>
          <t>302</t>
        </is>
      </c>
      <c r="B303" s="8" t="inlineStr">
        <is>
          <t>Owner</t>
        </is>
      </c>
      <c r="C303" s="9" t="inlineStr">
        <is>
          <t>Dark or blurry photo hint</t>
        </is>
      </c>
      <c r="D303" s="8" t="inlineStr">
        <is>
          <t>While posting, upload a very dark or blurry photo.</t>
        </is>
      </c>
      <c r="E303" s="8" t="inlineStr">
        <is>
          <t>A hint suggests a brighter or sharper photo; you can still keep it.</t>
        </is>
      </c>
      <c r="F303" s="10" t="inlineStr">
        <is>
          <t>Open</t>
        </is>
      </c>
      <c r="G303" s="10" t="inlineStr">
        <is>
          <t>Help</t>
        </is>
      </c>
      <c r="H303" s="11" t="inlineStr">
        <is>
          <t>Not tested</t>
        </is>
      </c>
      <c r="I303" s="8" t="inlineStr">
        <is>
          <t>Added 2026-10-15 for the next pass.</t>
        </is>
      </c>
      <c r="J303" s="8" t="inlineStr">
        <is>
          <t>Owner</t>
        </is>
      </c>
      <c r="K303" s="8" t="inlineStr">
        <is>
          <t>Low</t>
        </is>
      </c>
      <c r="L303" s="8" t="inlineStr">
        <is>
          <t>AI-01</t>
        </is>
      </c>
      <c r="M303" s="8" t="inlineStr">
        <is>
          <t>Both</t>
        </is>
      </c>
      <c r="N303" s="8" t="n"/>
    </row>
    <row r="304">
      <c r="A304" s="8" t="inlineStr">
        <is>
          <t>303</t>
        </is>
      </c>
      <c r="B304" s="8" t="inlineStr">
        <is>
          <t>Help</t>
        </is>
      </c>
      <c r="C304" s="9" t="inlineStr">
        <is>
          <t>Help articles suggested on the ticket form</t>
        </is>
      </c>
      <c r="D304" s="8" t="inlineStr">
        <is>
          <t>On Support, type a subject such as "refund" or "visit" before sending.</t>
        </is>
      </c>
      <c r="E304" s="8" t="inlineStr">
        <is>
          <t>Matching help articles are suggested before you submit; the ticket still sends.</t>
        </is>
      </c>
      <c r="F304" s="10" t="inlineStr">
        <is>
          <t>Open</t>
        </is>
      </c>
      <c r="G304" s="10" t="inlineStr">
        <is>
          <t>Help</t>
        </is>
      </c>
      <c r="H304" s="11" t="inlineStr">
        <is>
          <t>Not tested</t>
        </is>
      </c>
      <c r="I304" s="8" t="inlineStr">
        <is>
          <t>Added 2026-10-15 for the next pass.</t>
        </is>
      </c>
      <c r="J304" s="8" t="inlineStr">
        <is>
          <t>Buyer</t>
        </is>
      </c>
      <c r="K304" s="8" t="inlineStr">
        <is>
          <t>Low</t>
        </is>
      </c>
      <c r="L304" s="8" t="inlineStr">
        <is>
          <t>AI-01</t>
        </is>
      </c>
      <c r="M304" s="8" t="inlineStr">
        <is>
          <t>Both</t>
        </is>
      </c>
      <c r="N304" s="8" t="n"/>
    </row>
    <row r="305">
      <c r="A305" s="8" t="inlineStr">
        <is>
          <t>304</t>
        </is>
      </c>
      <c r="B305" s="8" t="inlineStr">
        <is>
          <t>Owner ↔ Buyer</t>
        </is>
      </c>
      <c r="C305" s="9" t="inlineStr">
        <is>
          <t>A visit uses one owner contact</t>
        </is>
      </c>
      <c r="D305" s="8" t="inlineStr">
        <is>
          <t>As a buyer with free contacts left, book a visit on a listing you have not contacted; cancel it before the owner confirms; book again and let the owner confirm.</t>
        </is>
      </c>
      <c r="E305" s="8" t="inlineStr">
        <is>
          <t>Booking spends one contact (none if you already contacted this listing); cancelling before the owner confirms returns it; after confirmation it stays spent. Visits are in person only.</t>
        </is>
      </c>
      <c r="F305" s="10" t="inlineStr">
        <is>
          <t>Open</t>
        </is>
      </c>
      <c r="G305" s="10" t="inlineStr">
        <is>
          <t>Help</t>
        </is>
      </c>
      <c r="H305" s="11" t="inlineStr">
        <is>
          <t>Not tested</t>
        </is>
      </c>
      <c r="I305" s="8" t="inlineStr">
        <is>
          <t>Added 2026-10-15 for the next pass.</t>
        </is>
      </c>
      <c r="J305" s="8" t="inlineStr">
        <is>
          <t>Buyer, Owner</t>
        </is>
      </c>
      <c r="K305" s="8" t="inlineStr">
        <is>
          <t>High</t>
        </is>
      </c>
      <c r="L305" s="8" t="inlineStr">
        <is>
          <t>V01</t>
        </is>
      </c>
      <c r="M305" s="8" t="inlineStr">
        <is>
          <t>Both</t>
        </is>
      </c>
      <c r="N305" s="8" t="n"/>
    </row>
    <row r="306">
      <c r="A306" s="8" t="inlineStr">
        <is>
          <t>305</t>
        </is>
      </c>
      <c r="B306" s="8" t="inlineStr">
        <is>
          <t>General – Maps</t>
        </is>
      </c>
      <c r="C306" s="9" t="inlineStr">
        <is>
          <t>Map pages when Google Maps fails</t>
        </is>
      </c>
      <c r="D306" s="8" t="inlineStr">
        <is>
          <t>With Maps failing (quota or bad key), open a locality page, the listings map, a society page and the flatmates map.</t>
        </is>
      </c>
      <c r="E306" s="8" t="inlineStr">
        <is>
          <t>Each shows "Map unavailable" in the map area; the rest of the page keeps working (no "This page stopped working").</t>
        </is>
      </c>
      <c r="F306" s="10" t="inlineStr">
        <is>
          <t>Open</t>
        </is>
      </c>
      <c r="G306" s="10" t="n"/>
      <c r="H306" s="11" t="inlineStr">
        <is>
          <t>Not tested</t>
        </is>
      </c>
      <c r="I306" s="8" t="inlineStr">
        <is>
          <t>Added 2026-10-15 for the next pass.</t>
        </is>
      </c>
      <c r="J306" s="8" t="inlineStr">
        <is>
          <t>Guest</t>
        </is>
      </c>
      <c r="K306" s="8" t="inlineStr">
        <is>
          <t>High</t>
        </is>
      </c>
      <c r="L306" s="8" t="inlineStr">
        <is>
          <t>QA-B80</t>
        </is>
      </c>
      <c r="M306" s="8" t="inlineStr">
        <is>
          <t>Both</t>
        </is>
      </c>
      <c r="N306" s="8" t="n"/>
    </row>
    <row r="307">
      <c r="A307" s="8" t="inlineStr">
        <is>
          <t>306</t>
        </is>
      </c>
      <c r="B307" s="8" t="inlineStr">
        <is>
          <t>Owner</t>
        </is>
      </c>
      <c r="C307" s="9" t="inlineStr">
        <is>
          <t>Identity check status on desktop</t>
        </is>
      </c>
      <c r="D307" s="8" t="inlineStr">
        <is>
          <t>With a pending or rejected ID check, open /verify-identity on a desktop.</t>
        </is>
      </c>
      <c r="E307" s="8" t="inlineStr">
        <is>
          <t>Your status (and the appeal for a rejection) shows first; "Try again" still hands off to the phone.</t>
        </is>
      </c>
      <c r="F307" s="10" t="inlineStr">
        <is>
          <t>Open</t>
        </is>
      </c>
      <c r="G307" s="10" t="inlineStr">
        <is>
          <t>Help</t>
        </is>
      </c>
      <c r="H307" s="11" t="inlineStr">
        <is>
          <t>Not tested</t>
        </is>
      </c>
      <c r="I307" s="8" t="inlineStr">
        <is>
          <t>Added 2026-10-15 for the next pass.</t>
        </is>
      </c>
      <c r="J307" s="8" t="inlineStr">
        <is>
          <t>Owner</t>
        </is>
      </c>
      <c r="K307" s="8" t="inlineStr">
        <is>
          <t>Medium</t>
        </is>
      </c>
      <c r="L307" s="8" t="inlineStr">
        <is>
          <t>QA-B78</t>
        </is>
      </c>
      <c r="M307" s="8" t="inlineStr">
        <is>
          <t>Both</t>
        </is>
      </c>
      <c r="N307" s="8" t="n"/>
    </row>
    <row r="308">
      <c r="A308" s="8" t="inlineStr">
        <is>
          <t>307</t>
        </is>
      </c>
      <c r="B308" s="8" t="inlineStr">
        <is>
          <t>Flatmates – Posting</t>
        </is>
      </c>
      <c r="C308" s="9" t="inlineStr">
        <is>
          <t>Rooms of a flat let room by room</t>
        </is>
      </c>
      <c r="D308" s="8" t="inlineStr">
        <is>
          <t>On Dashboard, look at a room that belongs to a flat let room by room.</t>
        </is>
      </c>
      <c r="E308" s="8" t="inlineStr">
        <is>
          <t>No Delete is offered on that room (manage it from the flat), so no error toast appears.</t>
        </is>
      </c>
      <c r="F308" s="10" t="inlineStr">
        <is>
          <t>Open</t>
        </is>
      </c>
      <c r="G308" s="10" t="n"/>
      <c r="H308" s="11" t="inlineStr">
        <is>
          <t>Not tested</t>
        </is>
      </c>
      <c r="I308" s="8" t="inlineStr">
        <is>
          <t>Added 2026-10-15 for the next pass.</t>
        </is>
      </c>
      <c r="J308" s="8" t="inlineStr">
        <is>
          <t>Owner</t>
        </is>
      </c>
      <c r="K308" s="8" t="inlineStr">
        <is>
          <t>Low</t>
        </is>
      </c>
      <c r="L308" s="8" t="inlineStr">
        <is>
          <t>QA-B76</t>
        </is>
      </c>
      <c r="M308" s="8" t="inlineStr">
        <is>
          <t>Both</t>
        </is>
      </c>
      <c r="N308" s="8" t="n"/>
    </row>
    <row r="309">
      <c r="A309" s="8" t="inlineStr">
        <is>
          <t>308</t>
        </is>
      </c>
      <c r="B309" s="8" t="inlineStr">
        <is>
          <t>Staff – Rent agreement desk</t>
        </is>
      </c>
      <c r="C309" s="9" t="inlineStr">
        <is>
          <t>Risky draft waits for a second operator</t>
        </is>
      </c>
      <c r="D309" s="8" t="inlineStr">
        <is>
          <t>Staff A shares a draft on a rent agreement with rent of ₹50,000 or more (or a co-owner, POA, NRI/foreign party or overlap). Customer opens the tracker. A tries to release the check; staff B releases it.</t>
        </is>
      </c>
      <c r="E309" s="8" t="inlineStr">
        <is>
          <t>Customer sees no draft until B releases it; A is refused; after release the customer sees the draft.</t>
        </is>
      </c>
      <c r="F309" s="10" t="inlineStr">
        <is>
          <t>Open</t>
        </is>
      </c>
      <c r="G309" s="10" t="n"/>
      <c r="H309" s="11" t="inlineStr">
        <is>
          <t>Pass</t>
        </is>
      </c>
      <c r="I309" s="8" t="inlineStr">
        <is>
          <t>QA 2026-10-16 (automated, live API): ops/registration-check "a high-rent draft waits for a second operator" green; backend RentAgreementDraftApprovalTest.riskyDraftNeedsSecondOperator green.</t>
        </is>
      </c>
      <c r="J309" s="8" t="inlineStr">
        <is>
          <t>Staff, Customer</t>
        </is>
      </c>
      <c r="K309" s="8" t="inlineStr">
        <is>
          <t>Critical</t>
        </is>
      </c>
      <c r="L309" s="8" t="inlineStr">
        <is>
          <t>RA-QA-01</t>
        </is>
      </c>
      <c r="M309" s="8" t="inlineStr">
        <is>
          <t>Both</t>
        </is>
      </c>
      <c r="N309" s="8" t="inlineStr">
        <is>
          <t>Automated</t>
        </is>
      </c>
    </row>
    <row r="310">
      <c r="A310" s="8" t="inlineStr">
        <is>
          <t>309</t>
        </is>
      </c>
      <c r="B310" s="8" t="inlineStr">
        <is>
          <t>Staff – Rent agreement desk</t>
        </is>
      </c>
      <c r="C310" s="9" t="inlineStr">
        <is>
          <t>A revised risky draft is checked again</t>
        </is>
      </c>
      <c r="D310" s="8" t="inlineStr">
        <is>
          <t>After B releases v1, staff A shares a revised draft (v2). As the customer, open the tracker and try to open, approve, ask for changes or send an OTP. Then staff B releases v2.</t>
        </is>
      </c>
      <c r="E310" s="8" t="inlineStr">
        <is>
          <t>While v2 is held the customer sees no draft, no hold reasons and no approval panel, and every approval action is refused; after B releases v2 the customer can open and approve it. The same holds if B sends v2 back, and the customer never sees the hold reasons or staff notes, even after a decision.</t>
        </is>
      </c>
      <c r="F310" s="10" t="inlineStr">
        <is>
          <t>Open</t>
        </is>
      </c>
      <c r="G310" s="10" t="n"/>
      <c r="H310" s="11" t="inlineStr">
        <is>
          <t>Pass</t>
        </is>
      </c>
      <c r="I310" s="8" t="inlineStr">
        <is>
          <t>QA 2026-10-16: was Fail (v2 reached Approved without a second check; OTP worked while held). Fixed-Verified: RentAgreementDraftApprovalTest.heldRevisionCannotBeApproved + ops/registration-check (extended) green. Also was Fail: a sent-back v2 became visible and approvable (RA-QA-11); check reasons/notes leaked to the customer after a decision (RA-QA-12); a v2 shared during the last approval left the request Approved with v2 held (RA-QA-13). Fixed-Verified: sentBackRevisionStaysHidden, RentAgreementMakerCheckerRaceTest.shareRacingApprovalNeverStrandsAHeldDraft green. A sent-back v2 also stayed visible once a later v3 was released (RA-QA-17); now hidden for good.</t>
        </is>
      </c>
      <c r="J310" s="8" t="inlineStr">
        <is>
          <t>Staff, Customer</t>
        </is>
      </c>
      <c r="K310" s="8" t="inlineStr">
        <is>
          <t>Critical</t>
        </is>
      </c>
      <c r="L310" s="8" t="inlineStr">
        <is>
          <t>RA-QA-01; RA-QA-02; RA-QA-06; RA-QA-11; RA-QA-12; RA-QA-13; RA-QA-17</t>
        </is>
      </c>
      <c r="M310" s="8" t="inlineStr">
        <is>
          <t>Both</t>
        </is>
      </c>
      <c r="N310" s="8" t="inlineStr">
        <is>
          <t>Automated</t>
        </is>
      </c>
    </row>
    <row r="311">
      <c r="A311" s="8" t="inlineStr">
        <is>
          <t>310</t>
        </is>
      </c>
      <c r="B311" s="8" t="inlineStr">
        <is>
          <t>Staff – Rent agreement desk</t>
        </is>
      </c>
      <c r="C311" s="9" t="inlineStr">
        <is>
          <t>Staff who is a party sees a held draft only as a customer</t>
        </is>
      </c>
      <c r="D311" s="8" t="inlineStr">
        <is>
          <t>A staff member files a rent agreement for their own flat (or accepts a tenant invite). A colleague shares a risky draft. The staff member opens the request and tries the draft's download link.</t>
        </is>
      </c>
      <c r="E311" s="8" t="inlineStr">
        <is>
          <t>No draft, hold reasons or staff names are shown and the download link returns not found until a second operator releases the draft.</t>
        </is>
      </c>
      <c r="F311" s="10" t="inlineStr">
        <is>
          <t>Open</t>
        </is>
      </c>
      <c r="G311" s="10" t="n"/>
      <c r="H311" s="11" t="inlineStr">
        <is>
          <t>Pass</t>
        </is>
      </c>
      <c r="I311" s="8" t="inlineStr">
        <is>
          <t>QA 2026-10-16: was Fail (staff party saw the held draft and its signed URL). Fixed-Verified: RentAgreementDraftApprovalTest.staffPartyCannotSeeAHeldDraft green.</t>
        </is>
      </c>
      <c r="J311" s="8" t="inlineStr">
        <is>
          <t>Staff</t>
        </is>
      </c>
      <c r="K311" s="8" t="inlineStr">
        <is>
          <t>Critical</t>
        </is>
      </c>
      <c r="L311" s="8" t="inlineStr">
        <is>
          <t>RA-QA-10</t>
        </is>
      </c>
      <c r="M311" s="8" t="inlineStr">
        <is>
          <t>Both</t>
        </is>
      </c>
      <c r="N311" s="8" t="inlineStr">
        <is>
          <t>Automated</t>
        </is>
      </c>
    </row>
  </sheetData>
  <autoFilter ref="A1:N308"/>
  <conditionalFormatting sqref="H2:H3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tested"</formula>
    </cfRule>
  </conditionalFormatting>
  <dataValidations count="4">
    <dataValidation sqref="H2:H320" showDropDown="0" showInputMessage="0" showErrorMessage="0" allowBlank="1" type="list">
      <formula1>"Pass,Fail,Blocked,Not tested"</formula1>
    </dataValidation>
    <dataValidation sqref="K2:K320" showDropDown="0" showInputMessage="0" showErrorMessage="0" allowBlank="1" type="list">
      <formula1>"Critical,High,Medium,Low"</formula1>
    </dataValidation>
    <dataValidation sqref="M2:M320" showDropDown="0" showInputMessage="0" showErrorMessage="0" allowBlank="1" type="list">
      <formula1>"Phone,Desktop,Both"</formula1>
    </dataValidation>
    <dataValidation sqref="N2:N320" showDropDown="0" showInputMessage="0" showErrorMessage="0" allowBlank="1" type="list">
      <formula1>"Manual,Automated,Both"</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F3" r:id="rId3"/>
    <hyperlink xmlns:r="http://schemas.openxmlformats.org/officeDocument/2006/relationships" ref="G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G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F8" r:id="rId13"/>
    <hyperlink xmlns:r="http://schemas.openxmlformats.org/officeDocument/2006/relationships" ref="G8" r:id="rId14"/>
    <hyperlink xmlns:r="http://schemas.openxmlformats.org/officeDocument/2006/relationships" ref="F9" r:id="rId15"/>
    <hyperlink xmlns:r="http://schemas.openxmlformats.org/officeDocument/2006/relationships" ref="G9" r:id="rId16"/>
    <hyperlink xmlns:r="http://schemas.openxmlformats.org/officeDocument/2006/relationships" ref="F10" r:id="rId17"/>
    <hyperlink xmlns:r="http://schemas.openxmlformats.org/officeDocument/2006/relationships" ref="G10" r:id="rId18"/>
    <hyperlink xmlns:r="http://schemas.openxmlformats.org/officeDocument/2006/relationships" ref="F11" r:id="rId19"/>
    <hyperlink xmlns:r="http://schemas.openxmlformats.org/officeDocument/2006/relationships" ref="G11" r:id="rId20"/>
    <hyperlink xmlns:r="http://schemas.openxmlformats.org/officeDocument/2006/relationships" ref="F12" r:id="rId21"/>
    <hyperlink xmlns:r="http://schemas.openxmlformats.org/officeDocument/2006/relationships" ref="G12" r:id="rId22"/>
    <hyperlink xmlns:r="http://schemas.openxmlformats.org/officeDocument/2006/relationships" ref="F13" r:id="rId23"/>
    <hyperlink xmlns:r="http://schemas.openxmlformats.org/officeDocument/2006/relationships" ref="G13" r:id="rId24"/>
    <hyperlink xmlns:r="http://schemas.openxmlformats.org/officeDocument/2006/relationships" ref="F14" r:id="rId25"/>
    <hyperlink xmlns:r="http://schemas.openxmlformats.org/officeDocument/2006/relationships" ref="G14" r:id="rId26"/>
    <hyperlink xmlns:r="http://schemas.openxmlformats.org/officeDocument/2006/relationships" ref="F15" r:id="rId27"/>
    <hyperlink xmlns:r="http://schemas.openxmlformats.org/officeDocument/2006/relationships" ref="G15" r:id="rId28"/>
    <hyperlink xmlns:r="http://schemas.openxmlformats.org/officeDocument/2006/relationships" ref="F16" r:id="rId29"/>
    <hyperlink xmlns:r="http://schemas.openxmlformats.org/officeDocument/2006/relationships" ref="G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G18" r:id="rId34"/>
    <hyperlink xmlns:r="http://schemas.openxmlformats.org/officeDocument/2006/relationships" ref="F19" r:id="rId35"/>
    <hyperlink xmlns:r="http://schemas.openxmlformats.org/officeDocument/2006/relationships" ref="G19" r:id="rId36"/>
    <hyperlink xmlns:r="http://schemas.openxmlformats.org/officeDocument/2006/relationships" ref="F20" r:id="rId37"/>
    <hyperlink xmlns:r="http://schemas.openxmlformats.org/officeDocument/2006/relationships" ref="G20" r:id="rId38"/>
    <hyperlink xmlns:r="http://schemas.openxmlformats.org/officeDocument/2006/relationships" ref="F21" r:id="rId39"/>
    <hyperlink xmlns:r="http://schemas.openxmlformats.org/officeDocument/2006/relationships" ref="G21" r:id="rId40"/>
    <hyperlink xmlns:r="http://schemas.openxmlformats.org/officeDocument/2006/relationships" ref="F22" r:id="rId41"/>
    <hyperlink xmlns:r="http://schemas.openxmlformats.org/officeDocument/2006/relationships" ref="G22" r:id="rId42"/>
    <hyperlink xmlns:r="http://schemas.openxmlformats.org/officeDocument/2006/relationships" ref="F23" r:id="rId43"/>
    <hyperlink xmlns:r="http://schemas.openxmlformats.org/officeDocument/2006/relationships" ref="G23" r:id="rId44"/>
    <hyperlink xmlns:r="http://schemas.openxmlformats.org/officeDocument/2006/relationships" ref="F24" r:id="rId45"/>
    <hyperlink xmlns:r="http://schemas.openxmlformats.org/officeDocument/2006/relationships" ref="G24" r:id="rId46"/>
    <hyperlink xmlns:r="http://schemas.openxmlformats.org/officeDocument/2006/relationships" ref="F25" r:id="rId47"/>
    <hyperlink xmlns:r="http://schemas.openxmlformats.org/officeDocument/2006/relationships" ref="G25" r:id="rId48"/>
    <hyperlink xmlns:r="http://schemas.openxmlformats.org/officeDocument/2006/relationships" ref="F26" r:id="rId49"/>
    <hyperlink xmlns:r="http://schemas.openxmlformats.org/officeDocument/2006/relationships" ref="G26" r:id="rId50"/>
    <hyperlink xmlns:r="http://schemas.openxmlformats.org/officeDocument/2006/relationships" ref="F27" r:id="rId51"/>
    <hyperlink xmlns:r="http://schemas.openxmlformats.org/officeDocument/2006/relationships" ref="G27" r:id="rId52"/>
    <hyperlink xmlns:r="http://schemas.openxmlformats.org/officeDocument/2006/relationships" ref="F28" r:id="rId53"/>
    <hyperlink xmlns:r="http://schemas.openxmlformats.org/officeDocument/2006/relationships" ref="G28" r:id="rId54"/>
    <hyperlink xmlns:r="http://schemas.openxmlformats.org/officeDocument/2006/relationships" ref="F29" r:id="rId55"/>
    <hyperlink xmlns:r="http://schemas.openxmlformats.org/officeDocument/2006/relationships" ref="G29" r:id="rId56"/>
    <hyperlink xmlns:r="http://schemas.openxmlformats.org/officeDocument/2006/relationships" ref="F30" r:id="rId57"/>
    <hyperlink xmlns:r="http://schemas.openxmlformats.org/officeDocument/2006/relationships" ref="G30" r:id="rId58"/>
    <hyperlink xmlns:r="http://schemas.openxmlformats.org/officeDocument/2006/relationships" ref="F31" r:id="rId59"/>
    <hyperlink xmlns:r="http://schemas.openxmlformats.org/officeDocument/2006/relationships" ref="G31" r:id="rId60"/>
    <hyperlink xmlns:r="http://schemas.openxmlformats.org/officeDocument/2006/relationships" ref="F32" r:id="rId61"/>
    <hyperlink xmlns:r="http://schemas.openxmlformats.org/officeDocument/2006/relationships" ref="G32" r:id="rId62"/>
    <hyperlink xmlns:r="http://schemas.openxmlformats.org/officeDocument/2006/relationships" ref="F33" r:id="rId63"/>
    <hyperlink xmlns:r="http://schemas.openxmlformats.org/officeDocument/2006/relationships" ref="G33" r:id="rId64"/>
    <hyperlink xmlns:r="http://schemas.openxmlformats.org/officeDocument/2006/relationships" ref="F34" r:id="rId65"/>
    <hyperlink xmlns:r="http://schemas.openxmlformats.org/officeDocument/2006/relationships" ref="G34" r:id="rId66"/>
    <hyperlink xmlns:r="http://schemas.openxmlformats.org/officeDocument/2006/relationships" ref="F35" r:id="rId67"/>
    <hyperlink xmlns:r="http://schemas.openxmlformats.org/officeDocument/2006/relationships" ref="G35" r:id="rId68"/>
    <hyperlink xmlns:r="http://schemas.openxmlformats.org/officeDocument/2006/relationships" ref="F36" r:id="rId69"/>
    <hyperlink xmlns:r="http://schemas.openxmlformats.org/officeDocument/2006/relationships" ref="G36" r:id="rId70"/>
    <hyperlink xmlns:r="http://schemas.openxmlformats.org/officeDocument/2006/relationships" ref="F37" r:id="rId71"/>
    <hyperlink xmlns:r="http://schemas.openxmlformats.org/officeDocument/2006/relationships" ref="G37" r:id="rId72"/>
    <hyperlink xmlns:r="http://schemas.openxmlformats.org/officeDocument/2006/relationships" ref="F38" r:id="rId73"/>
    <hyperlink xmlns:r="http://schemas.openxmlformats.org/officeDocument/2006/relationships" ref="G38" r:id="rId74"/>
    <hyperlink xmlns:r="http://schemas.openxmlformats.org/officeDocument/2006/relationships" ref="F39" r:id="rId75"/>
    <hyperlink xmlns:r="http://schemas.openxmlformats.org/officeDocument/2006/relationships" ref="G39" r:id="rId76"/>
    <hyperlink xmlns:r="http://schemas.openxmlformats.org/officeDocument/2006/relationships" ref="F40" r:id="rId77"/>
    <hyperlink xmlns:r="http://schemas.openxmlformats.org/officeDocument/2006/relationships" ref="F41" r:id="rId78"/>
    <hyperlink xmlns:r="http://schemas.openxmlformats.org/officeDocument/2006/relationships" ref="F43" r:id="rId79"/>
    <hyperlink xmlns:r="http://schemas.openxmlformats.org/officeDocument/2006/relationships" ref="F44" r:id="rId80"/>
    <hyperlink xmlns:r="http://schemas.openxmlformats.org/officeDocument/2006/relationships" ref="F45" r:id="rId81"/>
    <hyperlink xmlns:r="http://schemas.openxmlformats.org/officeDocument/2006/relationships" ref="F49" r:id="rId82"/>
    <hyperlink xmlns:r="http://schemas.openxmlformats.org/officeDocument/2006/relationships" ref="F52" r:id="rId83"/>
    <hyperlink xmlns:r="http://schemas.openxmlformats.org/officeDocument/2006/relationships" ref="F53" r:id="rId84"/>
    <hyperlink xmlns:r="http://schemas.openxmlformats.org/officeDocument/2006/relationships" ref="F55" r:id="rId85"/>
    <hyperlink xmlns:r="http://schemas.openxmlformats.org/officeDocument/2006/relationships" ref="F57" r:id="rId86"/>
    <hyperlink xmlns:r="http://schemas.openxmlformats.org/officeDocument/2006/relationships" ref="F61" r:id="rId87"/>
    <hyperlink xmlns:r="http://schemas.openxmlformats.org/officeDocument/2006/relationships" ref="F62" r:id="rId88"/>
    <hyperlink xmlns:r="http://schemas.openxmlformats.org/officeDocument/2006/relationships" ref="F63" r:id="rId89"/>
    <hyperlink xmlns:r="http://schemas.openxmlformats.org/officeDocument/2006/relationships" ref="F64" r:id="rId90"/>
    <hyperlink xmlns:r="http://schemas.openxmlformats.org/officeDocument/2006/relationships" ref="F65" r:id="rId91"/>
    <hyperlink xmlns:r="http://schemas.openxmlformats.org/officeDocument/2006/relationships" ref="F69" r:id="rId92"/>
    <hyperlink xmlns:r="http://schemas.openxmlformats.org/officeDocument/2006/relationships" ref="F70" r:id="rId93"/>
    <hyperlink xmlns:r="http://schemas.openxmlformats.org/officeDocument/2006/relationships" ref="F72" r:id="rId94"/>
    <hyperlink xmlns:r="http://schemas.openxmlformats.org/officeDocument/2006/relationships" ref="F73" r:id="rId95"/>
    <hyperlink xmlns:r="http://schemas.openxmlformats.org/officeDocument/2006/relationships" ref="F75" r:id="rId96"/>
    <hyperlink xmlns:r="http://schemas.openxmlformats.org/officeDocument/2006/relationships" ref="F77" r:id="rId97"/>
    <hyperlink xmlns:r="http://schemas.openxmlformats.org/officeDocument/2006/relationships" ref="F80" r:id="rId98"/>
    <hyperlink xmlns:r="http://schemas.openxmlformats.org/officeDocument/2006/relationships" ref="F81" r:id="rId99"/>
    <hyperlink xmlns:r="http://schemas.openxmlformats.org/officeDocument/2006/relationships" ref="F82" r:id="rId100"/>
    <hyperlink xmlns:r="http://schemas.openxmlformats.org/officeDocument/2006/relationships" ref="F83" r:id="rId101"/>
    <hyperlink xmlns:r="http://schemas.openxmlformats.org/officeDocument/2006/relationships" ref="F85" r:id="rId102"/>
    <hyperlink xmlns:r="http://schemas.openxmlformats.org/officeDocument/2006/relationships" ref="F87" r:id="rId103"/>
    <hyperlink xmlns:r="http://schemas.openxmlformats.org/officeDocument/2006/relationships" ref="F89" r:id="rId104"/>
    <hyperlink xmlns:r="http://schemas.openxmlformats.org/officeDocument/2006/relationships" ref="F90" r:id="rId105"/>
    <hyperlink xmlns:r="http://schemas.openxmlformats.org/officeDocument/2006/relationships" ref="F92" r:id="rId106"/>
    <hyperlink xmlns:r="http://schemas.openxmlformats.org/officeDocument/2006/relationships" ref="F93" r:id="rId107"/>
    <hyperlink xmlns:r="http://schemas.openxmlformats.org/officeDocument/2006/relationships" ref="F94" r:id="rId108"/>
    <hyperlink xmlns:r="http://schemas.openxmlformats.org/officeDocument/2006/relationships" ref="F95" r:id="rId109"/>
    <hyperlink xmlns:r="http://schemas.openxmlformats.org/officeDocument/2006/relationships" ref="F96" r:id="rId110"/>
    <hyperlink xmlns:r="http://schemas.openxmlformats.org/officeDocument/2006/relationships" ref="F97" r:id="rId111"/>
    <hyperlink xmlns:r="http://schemas.openxmlformats.org/officeDocument/2006/relationships" ref="F98" r:id="rId112"/>
    <hyperlink xmlns:r="http://schemas.openxmlformats.org/officeDocument/2006/relationships" ref="F99" r:id="rId113"/>
    <hyperlink xmlns:r="http://schemas.openxmlformats.org/officeDocument/2006/relationships" ref="F100" r:id="rId114"/>
    <hyperlink xmlns:r="http://schemas.openxmlformats.org/officeDocument/2006/relationships" ref="F101" r:id="rId115"/>
    <hyperlink xmlns:r="http://schemas.openxmlformats.org/officeDocument/2006/relationships" ref="F102" r:id="rId116"/>
    <hyperlink xmlns:r="http://schemas.openxmlformats.org/officeDocument/2006/relationships" ref="F103" r:id="rId117"/>
    <hyperlink xmlns:r="http://schemas.openxmlformats.org/officeDocument/2006/relationships" ref="F104" r:id="rId118"/>
    <hyperlink xmlns:r="http://schemas.openxmlformats.org/officeDocument/2006/relationships" ref="F105" r:id="rId119"/>
    <hyperlink xmlns:r="http://schemas.openxmlformats.org/officeDocument/2006/relationships" ref="F106" r:id="rId120"/>
    <hyperlink xmlns:r="http://schemas.openxmlformats.org/officeDocument/2006/relationships" ref="F107" r:id="rId121"/>
    <hyperlink xmlns:r="http://schemas.openxmlformats.org/officeDocument/2006/relationships" ref="F108" r:id="rId122"/>
    <hyperlink xmlns:r="http://schemas.openxmlformats.org/officeDocument/2006/relationships" ref="F109" r:id="rId123"/>
    <hyperlink xmlns:r="http://schemas.openxmlformats.org/officeDocument/2006/relationships" ref="F110" r:id="rId124"/>
    <hyperlink xmlns:r="http://schemas.openxmlformats.org/officeDocument/2006/relationships" ref="F112" r:id="rId125"/>
    <hyperlink xmlns:r="http://schemas.openxmlformats.org/officeDocument/2006/relationships" ref="F113" r:id="rId126"/>
    <hyperlink xmlns:r="http://schemas.openxmlformats.org/officeDocument/2006/relationships" ref="F114" r:id="rId127"/>
    <hyperlink xmlns:r="http://schemas.openxmlformats.org/officeDocument/2006/relationships" ref="F115" r:id="rId128"/>
    <hyperlink xmlns:r="http://schemas.openxmlformats.org/officeDocument/2006/relationships" ref="F116" r:id="rId129"/>
    <hyperlink xmlns:r="http://schemas.openxmlformats.org/officeDocument/2006/relationships" ref="F117" r:id="rId130"/>
    <hyperlink xmlns:r="http://schemas.openxmlformats.org/officeDocument/2006/relationships" ref="F118" r:id="rId131"/>
    <hyperlink xmlns:r="http://schemas.openxmlformats.org/officeDocument/2006/relationships" ref="F119" r:id="rId132"/>
    <hyperlink xmlns:r="http://schemas.openxmlformats.org/officeDocument/2006/relationships" ref="F120" r:id="rId133"/>
    <hyperlink xmlns:r="http://schemas.openxmlformats.org/officeDocument/2006/relationships" ref="F121" r:id="rId134"/>
    <hyperlink xmlns:r="http://schemas.openxmlformats.org/officeDocument/2006/relationships" ref="F122" r:id="rId135"/>
    <hyperlink xmlns:r="http://schemas.openxmlformats.org/officeDocument/2006/relationships" ref="F123" r:id="rId136"/>
    <hyperlink xmlns:r="http://schemas.openxmlformats.org/officeDocument/2006/relationships" ref="F124" r:id="rId137"/>
    <hyperlink xmlns:r="http://schemas.openxmlformats.org/officeDocument/2006/relationships" ref="F125" r:id="rId138"/>
    <hyperlink xmlns:r="http://schemas.openxmlformats.org/officeDocument/2006/relationships" ref="F126" r:id="rId139"/>
    <hyperlink xmlns:r="http://schemas.openxmlformats.org/officeDocument/2006/relationships" ref="F127" r:id="rId140"/>
    <hyperlink xmlns:r="http://schemas.openxmlformats.org/officeDocument/2006/relationships" ref="F128" r:id="rId141"/>
    <hyperlink xmlns:r="http://schemas.openxmlformats.org/officeDocument/2006/relationships" ref="F129" r:id="rId142"/>
    <hyperlink xmlns:r="http://schemas.openxmlformats.org/officeDocument/2006/relationships" ref="F130" r:id="rId143"/>
    <hyperlink xmlns:r="http://schemas.openxmlformats.org/officeDocument/2006/relationships" ref="F131" r:id="rId144"/>
    <hyperlink xmlns:r="http://schemas.openxmlformats.org/officeDocument/2006/relationships" ref="F132" r:id="rId145"/>
    <hyperlink xmlns:r="http://schemas.openxmlformats.org/officeDocument/2006/relationships" ref="F133" r:id="rId146"/>
    <hyperlink xmlns:r="http://schemas.openxmlformats.org/officeDocument/2006/relationships" ref="G133" r:id="rId147"/>
    <hyperlink xmlns:r="http://schemas.openxmlformats.org/officeDocument/2006/relationships" ref="F134" r:id="rId148"/>
    <hyperlink xmlns:r="http://schemas.openxmlformats.org/officeDocument/2006/relationships" ref="F135" r:id="rId149"/>
    <hyperlink xmlns:r="http://schemas.openxmlformats.org/officeDocument/2006/relationships" ref="F136" r:id="rId150"/>
    <hyperlink xmlns:r="http://schemas.openxmlformats.org/officeDocument/2006/relationships" ref="F137" r:id="rId151"/>
    <hyperlink xmlns:r="http://schemas.openxmlformats.org/officeDocument/2006/relationships" ref="F138" r:id="rId152"/>
    <hyperlink xmlns:r="http://schemas.openxmlformats.org/officeDocument/2006/relationships" ref="F139" r:id="rId153"/>
    <hyperlink xmlns:r="http://schemas.openxmlformats.org/officeDocument/2006/relationships" ref="F140" r:id="rId154"/>
    <hyperlink xmlns:r="http://schemas.openxmlformats.org/officeDocument/2006/relationships" ref="F141" r:id="rId155"/>
    <hyperlink xmlns:r="http://schemas.openxmlformats.org/officeDocument/2006/relationships" ref="F143" r:id="rId156"/>
    <hyperlink xmlns:r="http://schemas.openxmlformats.org/officeDocument/2006/relationships" ref="F144" r:id="rId157"/>
    <hyperlink xmlns:r="http://schemas.openxmlformats.org/officeDocument/2006/relationships" ref="F145" r:id="rId158"/>
    <hyperlink xmlns:r="http://schemas.openxmlformats.org/officeDocument/2006/relationships" ref="F146" r:id="rId159"/>
    <hyperlink xmlns:r="http://schemas.openxmlformats.org/officeDocument/2006/relationships" ref="F147" r:id="rId160"/>
    <hyperlink xmlns:r="http://schemas.openxmlformats.org/officeDocument/2006/relationships" ref="F148" r:id="rId161"/>
    <hyperlink xmlns:r="http://schemas.openxmlformats.org/officeDocument/2006/relationships" ref="F149" r:id="rId162"/>
    <hyperlink xmlns:r="http://schemas.openxmlformats.org/officeDocument/2006/relationships" ref="F150" r:id="rId163"/>
    <hyperlink xmlns:r="http://schemas.openxmlformats.org/officeDocument/2006/relationships" ref="F151" r:id="rId164"/>
    <hyperlink xmlns:r="http://schemas.openxmlformats.org/officeDocument/2006/relationships" ref="F152" r:id="rId165"/>
    <hyperlink xmlns:r="http://schemas.openxmlformats.org/officeDocument/2006/relationships" ref="F153" r:id="rId166"/>
    <hyperlink xmlns:r="http://schemas.openxmlformats.org/officeDocument/2006/relationships" ref="F154" r:id="rId167"/>
    <hyperlink xmlns:r="http://schemas.openxmlformats.org/officeDocument/2006/relationships" ref="F157" r:id="rId168"/>
    <hyperlink xmlns:r="http://schemas.openxmlformats.org/officeDocument/2006/relationships" ref="F158" r:id="rId169"/>
    <hyperlink xmlns:r="http://schemas.openxmlformats.org/officeDocument/2006/relationships" ref="F159" r:id="rId170"/>
    <hyperlink xmlns:r="http://schemas.openxmlformats.org/officeDocument/2006/relationships" ref="F161" r:id="rId171"/>
    <hyperlink xmlns:r="http://schemas.openxmlformats.org/officeDocument/2006/relationships" ref="F164" r:id="rId172"/>
    <hyperlink xmlns:r="http://schemas.openxmlformats.org/officeDocument/2006/relationships" ref="F167" r:id="rId173"/>
    <hyperlink xmlns:r="http://schemas.openxmlformats.org/officeDocument/2006/relationships" ref="F170" r:id="rId174"/>
    <hyperlink xmlns:r="http://schemas.openxmlformats.org/officeDocument/2006/relationships" ref="F171" r:id="rId175"/>
    <hyperlink xmlns:r="http://schemas.openxmlformats.org/officeDocument/2006/relationships" ref="F172" r:id="rId176"/>
    <hyperlink xmlns:r="http://schemas.openxmlformats.org/officeDocument/2006/relationships" ref="F173" r:id="rId177"/>
    <hyperlink xmlns:r="http://schemas.openxmlformats.org/officeDocument/2006/relationships" ref="F175" r:id="rId178"/>
    <hyperlink xmlns:r="http://schemas.openxmlformats.org/officeDocument/2006/relationships" ref="F179" r:id="rId179"/>
    <hyperlink xmlns:r="http://schemas.openxmlformats.org/officeDocument/2006/relationships" ref="F180" r:id="rId180"/>
    <hyperlink xmlns:r="http://schemas.openxmlformats.org/officeDocument/2006/relationships" ref="F182" r:id="rId181"/>
    <hyperlink xmlns:r="http://schemas.openxmlformats.org/officeDocument/2006/relationships" ref="F183" r:id="rId182"/>
    <hyperlink xmlns:r="http://schemas.openxmlformats.org/officeDocument/2006/relationships" ref="F184" r:id="rId183"/>
    <hyperlink xmlns:r="http://schemas.openxmlformats.org/officeDocument/2006/relationships" ref="F187" r:id="rId184"/>
    <hyperlink xmlns:r="http://schemas.openxmlformats.org/officeDocument/2006/relationships" ref="F189" r:id="rId185"/>
    <hyperlink xmlns:r="http://schemas.openxmlformats.org/officeDocument/2006/relationships" ref="F192" r:id="rId186"/>
    <hyperlink xmlns:r="http://schemas.openxmlformats.org/officeDocument/2006/relationships" ref="F193" r:id="rId187"/>
    <hyperlink xmlns:r="http://schemas.openxmlformats.org/officeDocument/2006/relationships" ref="F194" r:id="rId188"/>
    <hyperlink xmlns:r="http://schemas.openxmlformats.org/officeDocument/2006/relationships" ref="F195" r:id="rId189"/>
    <hyperlink xmlns:r="http://schemas.openxmlformats.org/officeDocument/2006/relationships" ref="F196" r:id="rId190"/>
    <hyperlink xmlns:r="http://schemas.openxmlformats.org/officeDocument/2006/relationships" ref="F197" r:id="rId191"/>
    <hyperlink xmlns:r="http://schemas.openxmlformats.org/officeDocument/2006/relationships" ref="F198" r:id="rId192"/>
    <hyperlink xmlns:r="http://schemas.openxmlformats.org/officeDocument/2006/relationships" ref="F204" r:id="rId193"/>
    <hyperlink xmlns:r="http://schemas.openxmlformats.org/officeDocument/2006/relationships" ref="F245" r:id="rId194"/>
    <hyperlink xmlns:r="http://schemas.openxmlformats.org/officeDocument/2006/relationships" ref="F246" r:id="rId195"/>
    <hyperlink xmlns:r="http://schemas.openxmlformats.org/officeDocument/2006/relationships" ref="F247" r:id="rId196"/>
    <hyperlink xmlns:r="http://schemas.openxmlformats.org/officeDocument/2006/relationships" ref="F248" r:id="rId197"/>
    <hyperlink xmlns:r="http://schemas.openxmlformats.org/officeDocument/2006/relationships" ref="F249" r:id="rId198"/>
    <hyperlink xmlns:r="http://schemas.openxmlformats.org/officeDocument/2006/relationships" ref="F250" r:id="rId199"/>
    <hyperlink xmlns:r="http://schemas.openxmlformats.org/officeDocument/2006/relationships" ref="F251" r:id="rId200"/>
    <hyperlink xmlns:r="http://schemas.openxmlformats.org/officeDocument/2006/relationships" ref="F252" r:id="rId201"/>
    <hyperlink xmlns:r="http://schemas.openxmlformats.org/officeDocument/2006/relationships" ref="F253" r:id="rId202"/>
    <hyperlink xmlns:r="http://schemas.openxmlformats.org/officeDocument/2006/relationships" ref="F254" r:id="rId203"/>
    <hyperlink xmlns:r="http://schemas.openxmlformats.org/officeDocument/2006/relationships" ref="F255" r:id="rId204"/>
    <hyperlink xmlns:r="http://schemas.openxmlformats.org/officeDocument/2006/relationships" ref="F256" r:id="rId205"/>
    <hyperlink xmlns:r="http://schemas.openxmlformats.org/officeDocument/2006/relationships" ref="F257" r:id="rId206"/>
    <hyperlink xmlns:r="http://schemas.openxmlformats.org/officeDocument/2006/relationships" ref="F258" r:id="rId207"/>
    <hyperlink xmlns:r="http://schemas.openxmlformats.org/officeDocument/2006/relationships" ref="F259" r:id="rId208"/>
    <hyperlink xmlns:r="http://schemas.openxmlformats.org/officeDocument/2006/relationships" ref="F260" r:id="rId209"/>
    <hyperlink xmlns:r="http://schemas.openxmlformats.org/officeDocument/2006/relationships" ref="F261" r:id="rId210"/>
    <hyperlink xmlns:r="http://schemas.openxmlformats.org/officeDocument/2006/relationships" ref="F262" r:id="rId211"/>
    <hyperlink xmlns:r="http://schemas.openxmlformats.org/officeDocument/2006/relationships" ref="F263" r:id="rId212"/>
    <hyperlink xmlns:r="http://schemas.openxmlformats.org/officeDocument/2006/relationships" ref="F264" r:id="rId213"/>
    <hyperlink xmlns:r="http://schemas.openxmlformats.org/officeDocument/2006/relationships" ref="F265" r:id="rId214"/>
    <hyperlink xmlns:r="http://schemas.openxmlformats.org/officeDocument/2006/relationships" ref="F266" r:id="rId215"/>
    <hyperlink xmlns:r="http://schemas.openxmlformats.org/officeDocument/2006/relationships" ref="F267" r:id="rId216"/>
    <hyperlink xmlns:r="http://schemas.openxmlformats.org/officeDocument/2006/relationships" ref="F268" r:id="rId217"/>
    <hyperlink xmlns:r="http://schemas.openxmlformats.org/officeDocument/2006/relationships" ref="F269" r:id="rId218"/>
    <hyperlink xmlns:r="http://schemas.openxmlformats.org/officeDocument/2006/relationships" ref="F270" r:id="rId219"/>
    <hyperlink xmlns:r="http://schemas.openxmlformats.org/officeDocument/2006/relationships" ref="F271" r:id="rId220"/>
    <hyperlink xmlns:r="http://schemas.openxmlformats.org/officeDocument/2006/relationships" ref="F272" r:id="rId221"/>
    <hyperlink xmlns:r="http://schemas.openxmlformats.org/officeDocument/2006/relationships" ref="F273" r:id="rId222"/>
    <hyperlink xmlns:r="http://schemas.openxmlformats.org/officeDocument/2006/relationships" ref="F274" r:id="rId223"/>
    <hyperlink xmlns:r="http://schemas.openxmlformats.org/officeDocument/2006/relationships" ref="F275" r:id="rId224"/>
    <hyperlink xmlns:r="http://schemas.openxmlformats.org/officeDocument/2006/relationships" ref="F276" r:id="rId225"/>
    <hyperlink xmlns:r="http://schemas.openxmlformats.org/officeDocument/2006/relationships" ref="F277" r:id="rId226"/>
    <hyperlink xmlns:r="http://schemas.openxmlformats.org/officeDocument/2006/relationships" ref="F278" r:id="rId227"/>
    <hyperlink xmlns:r="http://schemas.openxmlformats.org/officeDocument/2006/relationships" ref="F279" r:id="rId228"/>
    <hyperlink xmlns:r="http://schemas.openxmlformats.org/officeDocument/2006/relationships" ref="F280" r:id="rId229"/>
    <hyperlink xmlns:r="http://schemas.openxmlformats.org/officeDocument/2006/relationships" ref="F281" r:id="rId230"/>
    <hyperlink xmlns:r="http://schemas.openxmlformats.org/officeDocument/2006/relationships" ref="F282" r:id="rId231"/>
    <hyperlink xmlns:r="http://schemas.openxmlformats.org/officeDocument/2006/relationships" ref="F283" r:id="rId232"/>
    <hyperlink xmlns:r="http://schemas.openxmlformats.org/officeDocument/2006/relationships" ref="F284" r:id="rId233"/>
    <hyperlink xmlns:r="http://schemas.openxmlformats.org/officeDocument/2006/relationships" ref="F285" r:id="rId234"/>
    <hyperlink xmlns:r="http://schemas.openxmlformats.org/officeDocument/2006/relationships" ref="G285" r:id="rId235"/>
    <hyperlink xmlns:r="http://schemas.openxmlformats.org/officeDocument/2006/relationships" ref="F286" r:id="rId236"/>
    <hyperlink xmlns:r="http://schemas.openxmlformats.org/officeDocument/2006/relationships" ref="F287" r:id="rId237"/>
    <hyperlink xmlns:r="http://schemas.openxmlformats.org/officeDocument/2006/relationships" ref="G287" r:id="rId238"/>
    <hyperlink xmlns:r="http://schemas.openxmlformats.org/officeDocument/2006/relationships" ref="F288" r:id="rId239"/>
    <hyperlink xmlns:r="http://schemas.openxmlformats.org/officeDocument/2006/relationships" ref="F289" r:id="rId240"/>
    <hyperlink xmlns:r="http://schemas.openxmlformats.org/officeDocument/2006/relationships" ref="G289" r:id="rId241"/>
    <hyperlink xmlns:r="http://schemas.openxmlformats.org/officeDocument/2006/relationships" ref="F290" r:id="rId242"/>
    <hyperlink xmlns:r="http://schemas.openxmlformats.org/officeDocument/2006/relationships" ref="F291" r:id="rId243"/>
    <hyperlink xmlns:r="http://schemas.openxmlformats.org/officeDocument/2006/relationships" ref="F292" r:id="rId244"/>
    <hyperlink xmlns:r="http://schemas.openxmlformats.org/officeDocument/2006/relationships" ref="F293" r:id="rId245"/>
    <hyperlink xmlns:r="http://schemas.openxmlformats.org/officeDocument/2006/relationships" ref="F294" r:id="rId246"/>
    <hyperlink xmlns:r="http://schemas.openxmlformats.org/officeDocument/2006/relationships" ref="G294" r:id="rId247"/>
    <hyperlink xmlns:r="http://schemas.openxmlformats.org/officeDocument/2006/relationships" ref="F295" r:id="rId248"/>
    <hyperlink xmlns:r="http://schemas.openxmlformats.org/officeDocument/2006/relationships" ref="G295" r:id="rId249"/>
    <hyperlink xmlns:r="http://schemas.openxmlformats.org/officeDocument/2006/relationships" ref="F296" r:id="rId250"/>
    <hyperlink xmlns:r="http://schemas.openxmlformats.org/officeDocument/2006/relationships" ref="G296" r:id="rId251"/>
    <hyperlink xmlns:r="http://schemas.openxmlformats.org/officeDocument/2006/relationships" ref="F297" r:id="rId252"/>
    <hyperlink xmlns:r="http://schemas.openxmlformats.org/officeDocument/2006/relationships" ref="G297" r:id="rId253"/>
    <hyperlink xmlns:r="http://schemas.openxmlformats.org/officeDocument/2006/relationships" ref="F298" r:id="rId254"/>
    <hyperlink xmlns:r="http://schemas.openxmlformats.org/officeDocument/2006/relationships" ref="F299" r:id="rId255"/>
    <hyperlink xmlns:r="http://schemas.openxmlformats.org/officeDocument/2006/relationships" ref="G299" r:id="rId256"/>
    <hyperlink xmlns:r="http://schemas.openxmlformats.org/officeDocument/2006/relationships" ref="F300" r:id="rId257"/>
    <hyperlink xmlns:r="http://schemas.openxmlformats.org/officeDocument/2006/relationships" ref="G300" r:id="rId258"/>
    <hyperlink xmlns:r="http://schemas.openxmlformats.org/officeDocument/2006/relationships" ref="F301" r:id="rId259"/>
    <hyperlink xmlns:r="http://schemas.openxmlformats.org/officeDocument/2006/relationships" ref="G301" r:id="rId260"/>
    <hyperlink xmlns:r="http://schemas.openxmlformats.org/officeDocument/2006/relationships" ref="F302" r:id="rId261"/>
    <hyperlink xmlns:r="http://schemas.openxmlformats.org/officeDocument/2006/relationships" ref="G302" r:id="rId262"/>
    <hyperlink xmlns:r="http://schemas.openxmlformats.org/officeDocument/2006/relationships" ref="F303" r:id="rId263"/>
    <hyperlink xmlns:r="http://schemas.openxmlformats.org/officeDocument/2006/relationships" ref="G303" r:id="rId264"/>
    <hyperlink xmlns:r="http://schemas.openxmlformats.org/officeDocument/2006/relationships" ref="F304" r:id="rId265"/>
    <hyperlink xmlns:r="http://schemas.openxmlformats.org/officeDocument/2006/relationships" ref="G304" r:id="rId266"/>
    <hyperlink xmlns:r="http://schemas.openxmlformats.org/officeDocument/2006/relationships" ref="F305" r:id="rId267"/>
    <hyperlink xmlns:r="http://schemas.openxmlformats.org/officeDocument/2006/relationships" ref="G305" r:id="rId268"/>
    <hyperlink xmlns:r="http://schemas.openxmlformats.org/officeDocument/2006/relationships" ref="F306" r:id="rId269"/>
    <hyperlink xmlns:r="http://schemas.openxmlformats.org/officeDocument/2006/relationships" ref="F307" r:id="rId270"/>
    <hyperlink xmlns:r="http://schemas.openxmlformats.org/officeDocument/2006/relationships" ref="G307" r:id="rId271"/>
    <hyperlink xmlns:r="http://schemas.openxmlformats.org/officeDocument/2006/relationships" ref="F308" r:id="rId272"/>
  </hyperlink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10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3" customWidth="1" min="2" max="2"/>
    <col width="34" customWidth="1" min="3" max="3"/>
    <col width="34" customWidth="1" min="4" max="4"/>
    <col width="22" customWidth="1" min="5" max="5"/>
    <col width="14" customWidth="1" min="6" max="6"/>
    <col width="14" customWidth="1" min="7" max="7"/>
    <col width="90" customWidth="1" min="8" max="8"/>
  </cols>
  <sheetData>
    <row r="1">
      <c r="A1" s="7" t="inlineStr">
        <is>
          <t>#</t>
        </is>
      </c>
      <c r="B1" s="7" t="inlineStr">
        <is>
          <t>Area</t>
        </is>
      </c>
      <c r="C1" s="7" t="inlineStr">
        <is>
          <t>Page</t>
        </is>
      </c>
      <c r="D1" s="7" t="inlineStr">
        <is>
          <t>Address</t>
        </is>
      </c>
      <c r="E1" s="7" t="inlineStr">
        <is>
          <t>Role</t>
        </is>
      </c>
      <c r="F1" s="7" t="inlineStr">
        <is>
          <t>Phone (360x640 / 390x844)</t>
        </is>
      </c>
      <c r="G1" s="7" t="inlineStr">
        <is>
          <t>Desktop (1366x768 / 1920x1080)</t>
        </is>
      </c>
      <c r="H1" s="7" t="inlineStr">
        <is>
          <t>Notes</t>
        </is>
      </c>
    </row>
    <row r="2">
      <c r="A2" s="15" t="n">
        <v>1</v>
      </c>
      <c r="B2" s="15" t="inlineStr">
        <is>
          <t>Consumer</t>
        </is>
      </c>
      <c r="C2" s="15" t="inlineStr">
        <is>
          <t>Home</t>
        </is>
      </c>
      <c r="D2" s="15" t="inlineStr">
        <is>
          <t>/</t>
        </is>
      </c>
      <c r="E2" s="15" t="inlineStr">
        <is>
          <t>Guest</t>
        </is>
      </c>
      <c r="F2" s="15" t="inlineStr">
        <is>
          <t>Pass</t>
        </is>
      </c>
      <c r="G2" s="15" t="inlineStr">
        <is>
          <t>Pass</t>
        </is>
      </c>
      <c r="H2" s="15" t="inlineStr">
        <is>
          <t>Public sweep 53 routes at 360/390/1366/1920 (Chromium) + Firefox 390/1366 + WebKit 390/1366: loads, no sideways scroll; click-all over every visible control on 15 public pages at 390 and 1366. See QA-B21 (reduce motion).</t>
        </is>
      </c>
    </row>
    <row r="3">
      <c r="A3" s="15" t="n">
        <v>2</v>
      </c>
      <c r="B3" s="15" t="inlineStr">
        <is>
          <t>Consumer</t>
        </is>
      </c>
      <c r="C3" s="15" t="inlineStr">
        <is>
          <t>Home</t>
        </is>
      </c>
      <c r="D3" s="15" t="inlineStr">
        <is>
          <t>/</t>
        </is>
      </c>
      <c r="E3" s="15" t="inlineStr">
        <is>
          <t>Buyer</t>
        </is>
      </c>
      <c r="F3" s="15" t="inlineStr">
        <is>
          <t>Pass</t>
        </is>
      </c>
      <c r="G3" s="15" t="inlineStr">
        <is>
          <t>Pass</t>
        </is>
      </c>
      <c r="H3" s="15" t="inlineStr">
        <is>
          <t>Consumer shell as owner 360x640: account menu, bottom nav, + chooser. Desktop home as owner seen only via header checks. Desktop 1366 as buyer (2026-10-15): header shows the account, Search goes to /listings?deal=rent, focus visible, no console errors. Evidence mt36-d1366-home-buyer.png.</t>
        </is>
      </c>
    </row>
    <row r="4">
      <c r="A4" s="15" t="n">
        <v>3</v>
      </c>
      <c r="B4" s="15" t="inlineStr">
        <is>
          <t>Consumer</t>
        </is>
      </c>
      <c r="C4" s="15" t="inlineStr">
        <is>
          <t>Home</t>
        </is>
      </c>
      <c r="D4" s="15" t="inlineStr">
        <is>
          <t>/</t>
        </is>
      </c>
      <c r="E4" s="15" t="inlineStr">
        <is>
          <t>Owner</t>
        </is>
      </c>
      <c r="F4" s="15" t="inlineStr">
        <is>
          <t>Pass</t>
        </is>
      </c>
      <c r="G4" s="15" t="inlineStr">
        <is>
          <t>Pass</t>
        </is>
      </c>
      <c r="H4" s="15" t="inlineStr">
        <is>
          <t>Consumer shell as owner 360x640: account menu, bottom nav, + chooser. Desktop home as owner seen only via header checks. Desktop 1366 as owner (2026-10-15): header shows Account, Post property, Saved/alerts/messages; Search works; no console errors. Evidence mt36-d1366-home-owner.png.</t>
        </is>
      </c>
    </row>
    <row r="5">
      <c r="A5" s="15" t="n">
        <v>4</v>
      </c>
      <c r="B5" s="15" t="inlineStr">
        <is>
          <t>Consumer</t>
        </is>
      </c>
      <c r="C5" s="15" t="inlineStr">
        <is>
          <t>Listings (list+filters)</t>
        </is>
      </c>
      <c r="D5" s="15" t="inlineStr">
        <is>
          <t>/listings</t>
        </is>
      </c>
      <c r="E5" s="15" t="inlineStr">
        <is>
          <t>Guest</t>
        </is>
      </c>
      <c r="F5" s="15" t="inlineStr">
        <is>
          <t>Pass</t>
        </is>
      </c>
      <c r="G5" s="15" t="inlineStr">
        <is>
          <t>Pass</t>
        </is>
      </c>
      <c r="H5" s="15" t="inlineStr">
        <is>
          <t>Filters/sliders: keyboard arrows + drag at 1366; filters sheet at 390/360/landscape (flatmates). Listings filter sheet scroll lock + sticky footer.</t>
        </is>
      </c>
    </row>
    <row r="6">
      <c r="A6" s="15" t="n">
        <v>5</v>
      </c>
      <c r="B6" s="15" t="inlineStr">
        <is>
          <t>Consumer</t>
        </is>
      </c>
      <c r="C6" s="15" t="inlineStr">
        <is>
          <t>Listings (list+filters)</t>
        </is>
      </c>
      <c r="D6" s="15" t="inlineStr">
        <is>
          <t>/listings</t>
        </is>
      </c>
      <c r="E6" s="15" t="inlineStr">
        <is>
          <t>Buyer</t>
        </is>
      </c>
      <c r="F6" s="15" t="inlineStr">
        <is>
          <t>Pass</t>
        </is>
      </c>
      <c r="G6" s="15" t="inlineStr">
        <is>
          <t>Pass</t>
        </is>
      </c>
      <c r="H6" s="15" t="inlineStr">
        <is>
          <t>2026-10-15 buyer at 390 and 1366: BHK filter writes bhks=2 to the URL; heart saves (PUT 204) and unsaves (DELETE 204) and its label toggles; no sideways scroll; no console errors. The list has no page controls. Evidence mt36-*-listings-buyer.png.</t>
        </is>
      </c>
    </row>
    <row r="7">
      <c r="A7" s="15" t="n">
        <v>6</v>
      </c>
      <c r="B7" s="15" t="inlineStr">
        <is>
          <t>Consumer</t>
        </is>
      </c>
      <c r="C7" s="15" t="inlineStr">
        <is>
          <t>Listings map view</t>
        </is>
      </c>
      <c r="D7" s="15" t="inlineStr">
        <is>
          <t>/listings?view=map</t>
        </is>
      </c>
      <c r="E7" s="15" t="inlineStr">
        <is>
          <t>Guest</t>
        </is>
      </c>
      <c r="F7" s="15" t="inlineStr">
        <is>
          <t>Blocked</t>
        </is>
      </c>
      <c r="G7" s="15" t="inlineStr">
        <is>
          <t>Blocked</t>
        </is>
      </c>
      <c r="H7" s="15" t="inlineStr">
        <is>
          <t>Google Maps on the dev key returns a billing error; pins cannot be clicked (SB-09).</t>
        </is>
      </c>
    </row>
    <row r="8">
      <c r="A8" s="15" t="n">
        <v>7</v>
      </c>
      <c r="B8" s="15" t="inlineStr">
        <is>
          <t>Consumer</t>
        </is>
      </c>
      <c r="C8" s="15" t="inlineStr">
        <is>
          <t>Property detail</t>
        </is>
      </c>
      <c r="D8" s="15" t="inlineStr">
        <is>
          <t>/property/:id</t>
        </is>
      </c>
      <c r="E8" s="15" t="inlineStr">
        <is>
          <t>Guest</t>
        </is>
      </c>
      <c r="F8" s="15" t="inlineStr">
        <is>
          <t>Pass</t>
        </is>
      </c>
      <c r="G8" s="15" t="inlineStr">
        <is>
          <t>Not tested</t>
        </is>
      </c>
      <c r="H8" s="15" t="inlineStr">
        <is>
          <t>RETEST 2026-10-15: fixes shipped / SB-01 verified in sandbox. Gallery next/lightbox/Esc at 1366, swipe at 390; tabs, links. QA-B05, QA-B06 (desktop Ask Draaz over owner card).</t>
        </is>
      </c>
    </row>
    <row r="9">
      <c r="A9" s="15" t="n">
        <v>8</v>
      </c>
      <c r="B9" s="15" t="inlineStr">
        <is>
          <t>Consumer</t>
        </is>
      </c>
      <c r="C9" s="15" t="inlineStr">
        <is>
          <t>Property detail</t>
        </is>
      </c>
      <c r="D9" s="15" t="inlineStr">
        <is>
          <t>/property/:id</t>
        </is>
      </c>
      <c r="E9" s="15" t="inlineStr">
        <is>
          <t>Buyer</t>
        </is>
      </c>
      <c r="F9" s="15" t="inlineStr">
        <is>
          <t>Pass</t>
        </is>
      </c>
      <c r="G9" s="15" t="inlineStr">
        <is>
          <t>Not tested</t>
        </is>
      </c>
      <c r="H9" s="15" t="inlineStr">
        <is>
          <t>RETEST 2026-10-15: fixes shipped / SB-01 verified in sandbox. Every control on /property/p5133 at 390 (25 targets). Contact/visit/offer sheets. Desktop: Ask Draaz covers owner card (QA-B06). QA-B08, QA-B09.</t>
        </is>
      </c>
    </row>
    <row r="10">
      <c r="A10" s="15" t="n">
        <v>9</v>
      </c>
      <c r="B10" s="15" t="inlineStr">
        <is>
          <t>Consumer</t>
        </is>
      </c>
      <c r="C10" s="15" t="inlineStr">
        <is>
          <t>Property detail</t>
        </is>
      </c>
      <c r="D10" s="15" t="inlineStr">
        <is>
          <t>/property/:id</t>
        </is>
      </c>
      <c r="E10" s="15" t="inlineStr">
        <is>
          <t>Tenant</t>
        </is>
      </c>
      <c r="F10" s="15" t="inlineStr">
        <is>
          <t>Pass</t>
        </is>
      </c>
      <c r="G10" s="15" t="inlineStr">
        <is>
          <t>Pass</t>
        </is>
      </c>
      <c r="H10" s="15" t="inlineStr">
        <is>
          <t>Rent p5000 as tenant 390x844: contact gate, number after approval. Chat stuck QA-B11 (recorded in checklist). Desktop 1366 as tenant on p5014 (2026-10-15): gallery next, Schedule a Visit sheet opens and Esc closes it, "Request number" shown; no console errors. Evidence mt37-d1366-property-tenant.png.</t>
        </is>
      </c>
    </row>
    <row r="11">
      <c r="A11" s="15" t="n">
        <v>10</v>
      </c>
      <c r="B11" s="15" t="inlineStr">
        <is>
          <t>Consumer</t>
        </is>
      </c>
      <c r="C11" s="15" t="inlineStr">
        <is>
          <t>Property detail (own listing)</t>
        </is>
      </c>
      <c r="D11" s="15" t="inlineStr">
        <is>
          <t>/property/:id</t>
        </is>
      </c>
      <c r="E11" s="15" t="inlineStr">
        <is>
          <t>Owner</t>
        </is>
      </c>
      <c r="F11" s="15" t="inlineStr">
        <is>
          <t>Pass</t>
        </is>
      </c>
      <c r="G11" s="15" t="inlineStr">
        <is>
          <t>Pass</t>
        </is>
      </c>
      <c r="H11" s="15" t="inlineStr">
        <is>
          <t>2026-10-15 owner at 390 and 1366 on own listing: "Manage listing" and "This is your listing — your number is shown to you only"; no contact button. Evidence mt37-*-property-own.png.</t>
        </is>
      </c>
    </row>
    <row r="12">
      <c r="A12" s="15" t="n">
        <v>11</v>
      </c>
      <c r="B12" s="15" t="inlineStr">
        <is>
          <t>Consumer</t>
        </is>
      </c>
      <c r="C12" s="15" t="inlineStr">
        <is>
          <t>Owner profile</t>
        </is>
      </c>
      <c r="D12" s="15" t="inlineStr">
        <is>
          <t>/owner/:id</t>
        </is>
      </c>
      <c r="E12" s="15" t="inlineStr">
        <is>
          <t>Guest</t>
        </is>
      </c>
      <c r="F12" s="15" t="inlineStr">
        <is>
          <t>Pass</t>
        </is>
      </c>
      <c r="G12" s="15" t="inlineStr">
        <is>
          <t>Pass</t>
        </is>
      </c>
      <c r="H12" s="15" t="inlineStr">
        <is>
          <t>Public sweep 53 routes at 360/390/1366/1920 (Chromium) + Firefox 390/1366 + WebKit 390/1366: loads, no sideways scroll; click-all over every visible control on 15 public pages at 390 and 1366.</t>
        </is>
      </c>
    </row>
    <row r="13">
      <c r="A13" s="15" t="n">
        <v>12</v>
      </c>
      <c r="B13" s="15" t="inlineStr">
        <is>
          <t>Consumer</t>
        </is>
      </c>
      <c r="C13" s="15" t="inlineStr">
        <is>
          <t>Compare</t>
        </is>
      </c>
      <c r="D13" s="15" t="inlineStr">
        <is>
          <t>/compare</t>
        </is>
      </c>
      <c r="E13" s="15" t="inlineStr">
        <is>
          <t>Guest</t>
        </is>
      </c>
      <c r="F13" s="15" t="inlineStr">
        <is>
          <t>Pass</t>
        </is>
      </c>
      <c r="G13" s="15" t="inlineStr">
        <is>
          <t>Pass</t>
        </is>
      </c>
      <c r="H13" s="15" t="inlineStr">
        <is>
          <t>Compare page loads in public sweep; add-to-compare toggle on property page at 390.</t>
        </is>
      </c>
    </row>
    <row r="14">
      <c r="A14" s="15" t="n">
        <v>13</v>
      </c>
      <c r="B14" s="15" t="inlineStr">
        <is>
          <t>Consumer</t>
        </is>
      </c>
      <c r="C14" s="15" t="inlineStr">
        <is>
          <t>Compare</t>
        </is>
      </c>
      <c r="D14" s="15" t="inlineStr">
        <is>
          <t>/compare</t>
        </is>
      </c>
      <c r="E14" s="15" t="inlineStr">
        <is>
          <t>Buyer</t>
        </is>
      </c>
      <c r="F14" s="15" t="inlineStr">
        <is>
          <t>Pass</t>
        </is>
      </c>
      <c r="G14" s="15" t="inlineStr">
        <is>
          <t>Pass</t>
        </is>
      </c>
      <c r="H14" s="15" t="inlineStr">
        <is>
          <t>2026-10-15 buyer at 390 and 1366: added p5014, p5034, p5013 with "Add to compare"; /compare shows the cards (swipe on phone), Reset and Export PDF; Remove takes a card off. Evidence mt37-*-compare.png.</t>
        </is>
      </c>
    </row>
    <row r="15">
      <c r="A15" s="15" t="n">
        <v>14</v>
      </c>
      <c r="B15" s="15" t="inlineStr">
        <is>
          <t>Consumer</t>
        </is>
      </c>
      <c r="C15" s="15" t="inlineStr">
        <is>
          <t>Sign in</t>
        </is>
      </c>
      <c r="D15" s="15" t="inlineStr">
        <is>
          <t>/signin</t>
        </is>
      </c>
      <c r="E15" s="15" t="inlineStr">
        <is>
          <t>Guest</t>
        </is>
      </c>
      <c r="F15" s="15" t="inlineStr">
        <is>
          <t>Pass</t>
        </is>
      </c>
      <c r="G15" s="15" t="inlineStr">
        <is>
          <t>Pass</t>
        </is>
      </c>
      <c r="H15" s="15" t="inlineStr">
        <is>
          <t>Public sweep 53 routes at 360/390/1366/1920 (Chromium) + Firefox 390/1366 + WebKit 390/1366: loads, no sideways scroll; click-all over every visible control on 15 public pages at 390 and 1366.</t>
        </is>
      </c>
    </row>
    <row r="16">
      <c r="A16" s="15" t="n">
        <v>15</v>
      </c>
      <c r="B16" s="15" t="inlineStr">
        <is>
          <t>Consumer</t>
        </is>
      </c>
      <c r="C16" s="15" t="inlineStr">
        <is>
          <t>Sign up</t>
        </is>
      </c>
      <c r="D16" s="15" t="inlineStr">
        <is>
          <t>/signup</t>
        </is>
      </c>
      <c r="E16" s="15" t="inlineStr">
        <is>
          <t>Guest</t>
        </is>
      </c>
      <c r="F16" s="15" t="inlineStr">
        <is>
          <t>Pass</t>
        </is>
      </c>
      <c r="G16" s="15" t="inlineStr">
        <is>
          <t>Pass</t>
        </is>
      </c>
      <c r="H16" s="15" t="inlineStr">
        <is>
          <t>Public sweep 53 routes at 360/390/1366/1920 (Chromium) + Firefox 390/1366 + WebKit 390/1366: loads, no sideways scroll; click-all over every visible control on 15 public pages at 390 and 1366.</t>
        </is>
      </c>
    </row>
    <row r="17">
      <c r="A17" s="15" t="n">
        <v>16</v>
      </c>
      <c r="B17" s="15" t="inlineStr">
        <is>
          <t>Consumer</t>
        </is>
      </c>
      <c r="C17" s="15" t="inlineStr">
        <is>
          <t>Staff login</t>
        </is>
      </c>
      <c r="D17" s="15" t="inlineStr">
        <is>
          <t>/staff-login</t>
        </is>
      </c>
      <c r="E17" s="15" t="inlineStr">
        <is>
          <t>Guest</t>
        </is>
      </c>
      <c r="F17" s="15" t="inlineStr">
        <is>
          <t>Pass</t>
        </is>
      </c>
      <c r="G17" s="15" t="inlineStr">
        <is>
          <t>Pass</t>
        </is>
      </c>
      <c r="H17" s="15" t="inlineStr">
        <is>
          <t>Signed in by hand at 360/390/1366 (OTP from test sender); staff login at 360/390/1366/1920.</t>
        </is>
      </c>
    </row>
    <row r="18">
      <c r="A18" s="15" t="n">
        <v>17</v>
      </c>
      <c r="B18" s="15" t="inlineStr">
        <is>
          <t>Consumer</t>
        </is>
      </c>
      <c r="C18" s="15" t="inlineStr">
        <is>
          <t>Staff invite</t>
        </is>
      </c>
      <c r="D18" s="15" t="inlineStr">
        <is>
          <t>/staff-invite</t>
        </is>
      </c>
      <c r="E18" s="15" t="inlineStr">
        <is>
          <t>Guest</t>
        </is>
      </c>
      <c r="F18" s="15" t="inlineStr">
        <is>
          <t>Pass</t>
        </is>
      </c>
      <c r="G18" s="15" t="inlineStr">
        <is>
          <t>Pass</t>
        </is>
      </c>
      <c r="H18" s="15" t="inlineStr">
        <is>
          <t>2026-10-15 guest at 390 and 1366: invite code fills from the #link and is then removed from the address bar; empty code, short or mismatched passwords give clear messages; a bogus code gives "This invite code is invalid or has expired" (server 401); a double-click sends one request; fields labelled. A real emailed invite still needs ZeptoMail (sandbox). Evidence mt38-*-staff-invite*.png.</t>
        </is>
      </c>
    </row>
    <row r="19">
      <c r="A19" s="15" t="n">
        <v>18</v>
      </c>
      <c r="B19" s="15" t="inlineStr">
        <is>
          <t>Consumer</t>
        </is>
      </c>
      <c r="C19" s="15" t="inlineStr">
        <is>
          <t>Services hub</t>
        </is>
      </c>
      <c r="D19" s="15" t="inlineStr">
        <is>
          <t>/services</t>
        </is>
      </c>
      <c r="E19" s="15" t="inlineStr">
        <is>
          <t>Guest</t>
        </is>
      </c>
      <c r="F19" s="15" t="inlineStr">
        <is>
          <t>Pass</t>
        </is>
      </c>
      <c r="G19" s="15" t="inlineStr">
        <is>
          <t>Pass</t>
        </is>
      </c>
      <c r="H19" s="15" t="inlineStr">
        <is>
          <t>Public sweep 53 routes at 360/390/1366/1920 (Chromium) + Firefox 390/1366 + WebKit 390/1366: loads, no sideways scroll; click-all over every visible control on 15 public pages at 390 and 1366.</t>
        </is>
      </c>
    </row>
    <row r="20">
      <c r="A20" s="15" t="n">
        <v>19</v>
      </c>
      <c r="B20" s="15" t="inlineStr">
        <is>
          <t>Consumer</t>
        </is>
      </c>
      <c r="C20" s="15" t="inlineStr">
        <is>
          <t>Packers &amp; movers</t>
        </is>
      </c>
      <c r="D20" s="15" t="inlineStr">
        <is>
          <t>/services/packers-movers</t>
        </is>
      </c>
      <c r="E20" s="15" t="inlineStr">
        <is>
          <t>Buyer</t>
        </is>
      </c>
      <c r="F20" s="15" t="inlineStr">
        <is>
          <t>Pass</t>
        </is>
      </c>
      <c r="G20" s="15" t="inlineStr">
        <is>
          <t>Pass</t>
        </is>
      </c>
      <c r="H20" s="15" t="inlineStr">
        <is>
          <t>Loaded signed-in in account sweep (360/1366); request forms not submitted as these roles.</t>
        </is>
      </c>
    </row>
    <row r="21">
      <c r="A21" s="15" t="n">
        <v>20</v>
      </c>
      <c r="B21" s="15" t="inlineStr">
        <is>
          <t>Consumer</t>
        </is>
      </c>
      <c r="C21" s="15" t="inlineStr">
        <is>
          <t>Property legal</t>
        </is>
      </c>
      <c r="D21" s="15" t="inlineStr">
        <is>
          <t>/services/property-legal</t>
        </is>
      </c>
      <c r="E21" s="15" t="inlineStr">
        <is>
          <t>Buyer</t>
        </is>
      </c>
      <c r="F21" s="15" t="inlineStr">
        <is>
          <t>Pass</t>
        </is>
      </c>
      <c r="G21" s="15" t="inlineStr">
        <is>
          <t>Pass</t>
        </is>
      </c>
      <c r="H21" s="15" t="inlineStr">
        <is>
          <t>Loaded signed-in in account sweep (360/1366); request forms not submitted as these roles.</t>
        </is>
      </c>
    </row>
    <row r="22">
      <c r="A22" s="15" t="n">
        <v>21</v>
      </c>
      <c r="B22" s="15" t="inlineStr">
        <is>
          <t>Consumer</t>
        </is>
      </c>
      <c r="C22" s="15" t="inlineStr">
        <is>
          <t>Home loans</t>
        </is>
      </c>
      <c r="D22" s="15" t="inlineStr">
        <is>
          <t>/home-loans</t>
        </is>
      </c>
      <c r="E22" s="15" t="inlineStr">
        <is>
          <t>Buyer</t>
        </is>
      </c>
      <c r="F22" s="15" t="inlineStr">
        <is>
          <t>Pass</t>
        </is>
      </c>
      <c r="G22" s="15" t="inlineStr">
        <is>
          <t>Pass</t>
        </is>
      </c>
      <c r="H22" s="15" t="inlineStr">
        <is>
          <t>Loaded signed-in in account sweep (360/1366); request forms not submitted as these roles.</t>
        </is>
      </c>
    </row>
    <row r="23">
      <c r="A23" s="15" t="n">
        <v>22</v>
      </c>
      <c r="B23" s="15" t="inlineStr">
        <is>
          <t>Consumer</t>
        </is>
      </c>
      <c r="C23" s="15" t="inlineStr">
        <is>
          <t>Interior</t>
        </is>
      </c>
      <c r="D23" s="15" t="inlineStr">
        <is>
          <t>/services/interior-renovation</t>
        </is>
      </c>
      <c r="E23" s="15" t="inlineStr">
        <is>
          <t>Owner</t>
        </is>
      </c>
      <c r="F23" s="15" t="inlineStr">
        <is>
          <t>Pass</t>
        </is>
      </c>
      <c r="G23" s="15" t="inlineStr">
        <is>
          <t>Pass</t>
        </is>
      </c>
      <c r="H23" s="15" t="inlineStr">
        <is>
          <t>Loaded signed-in in account sweep (360/1366); request forms not submitted as these roles.</t>
        </is>
      </c>
    </row>
    <row r="24">
      <c r="A24" s="15" t="n">
        <v>23</v>
      </c>
      <c r="B24" s="15" t="inlineStr">
        <is>
          <t>Consumer</t>
        </is>
      </c>
      <c r="C24" s="15" t="inlineStr">
        <is>
          <t>Valuation</t>
        </is>
      </c>
      <c r="D24" s="15" t="inlineStr">
        <is>
          <t>/services/property-valuation</t>
        </is>
      </c>
      <c r="E24" s="15" t="inlineStr">
        <is>
          <t>Owner</t>
        </is>
      </c>
      <c r="F24" s="15" t="inlineStr">
        <is>
          <t>Pass</t>
        </is>
      </c>
      <c r="G24" s="15" t="inlineStr">
        <is>
          <t>Pass</t>
        </is>
      </c>
      <c r="H24" s="15" t="inlineStr">
        <is>
          <t>Loaded signed-in in account sweep (360/1366); request forms not submitted as these roles.</t>
        </is>
      </c>
    </row>
    <row r="25">
      <c r="A25" s="15" t="n">
        <v>24</v>
      </c>
      <c r="B25" s="15" t="inlineStr">
        <is>
          <t>Consumer</t>
        </is>
      </c>
      <c r="C25" s="15" t="inlineStr">
        <is>
          <t>Rent agreement</t>
        </is>
      </c>
      <c r="D25" s="15" t="inlineStr">
        <is>
          <t>/services/rent-agreement</t>
        </is>
      </c>
      <c r="E25" s="15" t="inlineStr">
        <is>
          <t>Owner</t>
        </is>
      </c>
      <c r="F25" s="15" t="inlineStr">
        <is>
          <t>Pass</t>
        </is>
      </c>
      <c r="G25" s="15" t="inlineStr">
        <is>
          <t>Pass</t>
        </is>
      </c>
      <c r="H25" s="15" t="inlineStr">
        <is>
          <t>RETEST 2026-10-15: fixes shipped / SB-01 verified in sandbox. Page loads (account sweep). Paying for an agreement needs Cashfree sandbox (SB-01).</t>
        </is>
      </c>
    </row>
    <row r="26">
      <c r="A26" s="15" t="n">
        <v>25</v>
      </c>
      <c r="B26" s="15" t="inlineStr">
        <is>
          <t>Consumer</t>
        </is>
      </c>
      <c r="C26" s="15" t="inlineStr">
        <is>
          <t>Rent agreement</t>
        </is>
      </c>
      <c r="D26" s="15" t="inlineStr">
        <is>
          <t>/services/rent-agreement</t>
        </is>
      </c>
      <c r="E26" s="15" t="inlineStr">
        <is>
          <t>Tenant</t>
        </is>
      </c>
      <c r="F26" s="15" t="inlineStr">
        <is>
          <t>Pass</t>
        </is>
      </c>
      <c r="G26" s="15" t="inlineStr">
        <is>
          <t>Pass</t>
        </is>
      </c>
      <c r="H26" s="15" t="inlineStr">
        <is>
          <t>RETEST 2026-10-15: fixes shipped / SB-01 verified in sandbox. Page loads (account sweep). Paying for an agreement needs Cashfree sandbox (SB-01).</t>
        </is>
      </c>
    </row>
    <row r="27">
      <c r="A27" s="15" t="n">
        <v>26</v>
      </c>
      <c r="B27" s="15" t="inlineStr">
        <is>
          <t>Consumer</t>
        </is>
      </c>
      <c r="C27" s="15" t="inlineStr">
        <is>
          <t>Contact</t>
        </is>
      </c>
      <c r="D27" s="15" t="inlineStr">
        <is>
          <t>/contact</t>
        </is>
      </c>
      <c r="E27" s="15" t="inlineStr">
        <is>
          <t>Guest</t>
        </is>
      </c>
      <c r="F27" s="15" t="inlineStr">
        <is>
          <t>Pass</t>
        </is>
      </c>
      <c r="G27" s="15" t="inlineStr">
        <is>
          <t>Pass</t>
        </is>
      </c>
      <c r="H27" s="15" t="inlineStr">
        <is>
          <t>Public sweep 53 routes at 360/390/1366/1920 (Chromium) + Firefox 390/1366 + WebKit 390/1366: loads, no sideways scroll; click-all over every visible control on 15 public pages at 390 and 1366.</t>
        </is>
      </c>
    </row>
    <row r="28">
      <c r="A28" s="15" t="n">
        <v>27</v>
      </c>
      <c r="B28" s="15" t="inlineStr">
        <is>
          <t>Consumer</t>
        </is>
      </c>
      <c r="C28" s="15" t="inlineStr">
        <is>
          <t>About / trust pages</t>
        </is>
      </c>
      <c r="D28" s="15" t="inlineStr">
        <is>
          <t>/about,/how-verification-works,/compare/nobroker</t>
        </is>
      </c>
      <c r="E28" s="15" t="inlineStr">
        <is>
          <t>Guest</t>
        </is>
      </c>
      <c r="F28" s="15" t="inlineStr">
        <is>
          <t>Pass</t>
        </is>
      </c>
      <c r="G28" s="15" t="inlineStr">
        <is>
          <t>Pass</t>
        </is>
      </c>
      <c r="H28" s="15" t="inlineStr">
        <is>
          <t>Public sweep 53 routes at 360/390/1366/1920 (Chromium) + Firefox 390/1366 + WebKit 390/1366: loads, no sideways scroll; click-all over every visible control on 15 public pages at 390 and 1366.</t>
        </is>
      </c>
    </row>
    <row r="29">
      <c r="A29" s="15" t="n">
        <v>28</v>
      </c>
      <c r="B29" s="15" t="inlineStr">
        <is>
          <t>Consumer</t>
        </is>
      </c>
      <c r="C29" s="15" t="inlineStr">
        <is>
          <t>Notifications</t>
        </is>
      </c>
      <c r="D29" s="15" t="inlineStr">
        <is>
          <t>/notifications</t>
        </is>
      </c>
      <c r="E29" s="15" t="inlineStr">
        <is>
          <t>Buyer</t>
        </is>
      </c>
      <c r="F29" s="15" t="inlineStr">
        <is>
          <t>Pass</t>
        </is>
      </c>
      <c r="G29" s="15" t="inlineStr">
        <is>
          <t>Pass</t>
        </is>
      </c>
      <c r="H29" s="15" t="inlineStr">
        <is>
          <t>Account sweep 360/1366; notifications from contact/visit/flatmate flows seen. QA-B18 (no notice for support reply).</t>
        </is>
      </c>
    </row>
    <row r="30">
      <c r="A30" s="15" t="n">
        <v>29</v>
      </c>
      <c r="B30" s="15" t="inlineStr">
        <is>
          <t>Consumer</t>
        </is>
      </c>
      <c r="C30" s="15" t="inlineStr">
        <is>
          <t>Notifications</t>
        </is>
      </c>
      <c r="D30" s="15" t="inlineStr">
        <is>
          <t>/notifications</t>
        </is>
      </c>
      <c r="E30" s="15" t="inlineStr">
        <is>
          <t>Guest (blocked)</t>
        </is>
      </c>
      <c r="F30" s="15" t="inlineStr">
        <is>
          <t>Pass</t>
        </is>
      </c>
      <c r="G30" s="15" t="inlineStr">
        <is>
          <t>Pass</t>
        </is>
      </c>
      <c r="H30" s="15" t="inlineStr">
        <is>
          <t>Redirects to /signin?next= .</t>
        </is>
      </c>
    </row>
    <row r="31">
      <c r="A31" s="15" t="n">
        <v>30</v>
      </c>
      <c r="B31" s="15" t="inlineStr">
        <is>
          <t>Consumer</t>
        </is>
      </c>
      <c r="C31" s="15" t="inlineStr">
        <is>
          <t>Plans</t>
        </is>
      </c>
      <c r="D31" s="15" t="inlineStr">
        <is>
          <t>/plans</t>
        </is>
      </c>
      <c r="E31" s="15" t="inlineStr">
        <is>
          <t>Guest</t>
        </is>
      </c>
      <c r="F31" s="15" t="inlineStr">
        <is>
          <t>Pass</t>
        </is>
      </c>
      <c r="G31" s="15" t="inlineStr">
        <is>
          <t>Pass</t>
        </is>
      </c>
      <c r="H31" s="15" t="inlineStr">
        <is>
          <t>Public sweep 53 routes at 360/390/1366/1920 (Chromium) + Firefox 390/1366 + WebKit 390/1366: loads, no sideways scroll; click-all over every visible control on 15 public pages at 390 and 1366.</t>
        </is>
      </c>
    </row>
    <row r="32">
      <c r="A32" s="15" t="n">
        <v>31</v>
      </c>
      <c r="B32" s="15" t="inlineStr">
        <is>
          <t>Consumer</t>
        </is>
      </c>
      <c r="C32" s="15" t="inlineStr">
        <is>
          <t>Plans</t>
        </is>
      </c>
      <c r="D32" s="15" t="inlineStr">
        <is>
          <t>/plans</t>
        </is>
      </c>
      <c r="E32" s="15" t="inlineStr">
        <is>
          <t>Owner</t>
        </is>
      </c>
      <c r="F32" s="15" t="inlineStr">
        <is>
          <t>Pass</t>
        </is>
      </c>
      <c r="G32" s="15" t="inlineStr">
        <is>
          <t>Pass</t>
        </is>
      </c>
      <c r="H32" s="15" t="inlineStr">
        <is>
          <t>Plans page loads signed-in; no purchase (no real payments).</t>
        </is>
      </c>
    </row>
    <row r="33">
      <c r="A33" s="15" t="n">
        <v>32</v>
      </c>
      <c r="B33" s="15" t="inlineStr">
        <is>
          <t>Consumer</t>
        </is>
      </c>
      <c r="C33" s="15" t="inlineStr">
        <is>
          <t>Checkout</t>
        </is>
      </c>
      <c r="D33" s="15" t="inlineStr">
        <is>
          <t>/checkout</t>
        </is>
      </c>
      <c r="E33" s="15" t="inlineStr">
        <is>
          <t>Buyer</t>
        </is>
      </c>
      <c r="F33" s="15" t="inlineStr">
        <is>
          <t>Pass</t>
        </is>
      </c>
      <c r="G33" s="15" t="inlineStr">
        <is>
          <t>Pass</t>
        </is>
      </c>
      <c r="H33" s="15" t="inlineStr">
        <is>
          <t>RETEST 2026-10-15: fixes shipped / SB-01 verified in sandbox. /checkout redirects to /plans; paying needs Cashfree sandbox (SB-01).</t>
        </is>
      </c>
    </row>
    <row r="34">
      <c r="A34" s="15" t="n">
        <v>33</v>
      </c>
      <c r="B34" s="15" t="inlineStr">
        <is>
          <t>Consumer</t>
        </is>
      </c>
      <c r="C34" s="15" t="inlineStr">
        <is>
          <t>Refer</t>
        </is>
      </c>
      <c r="D34" s="15" t="inlineStr">
        <is>
          <t>/refer</t>
        </is>
      </c>
      <c r="E34" s="15" t="inlineStr">
        <is>
          <t>Buyer</t>
        </is>
      </c>
      <c r="F34" s="15" t="inlineStr">
        <is>
          <t>Pass</t>
        </is>
      </c>
      <c r="G34" s="15" t="inlineStr">
        <is>
          <t>Pass</t>
        </is>
      </c>
      <c r="H34" s="15" t="inlineStr">
        <is>
          <t>Account sweep 360/1366 (load, layout).</t>
        </is>
      </c>
    </row>
    <row r="35">
      <c r="A35" s="15" t="n">
        <v>34</v>
      </c>
      <c r="B35" s="15" t="inlineStr">
        <is>
          <t>Consumer</t>
        </is>
      </c>
      <c r="C35" s="15" t="inlineStr">
        <is>
          <t>Tools hub + 5 tools</t>
        </is>
      </c>
      <c r="D35" s="15" t="inlineStr">
        <is>
          <t>/tools,/emi-calculator,/tools/*</t>
        </is>
      </c>
      <c r="E35" s="15" t="inlineStr">
        <is>
          <t>Guest</t>
        </is>
      </c>
      <c r="F35" s="15" t="inlineStr">
        <is>
          <t>Pass</t>
        </is>
      </c>
      <c r="G35" s="15" t="inlineStr">
        <is>
          <t>Pass</t>
        </is>
      </c>
      <c r="H35" s="15" t="inlineStr">
        <is>
          <t>Public sweep 53 routes at 360/390/1366/1920 (Chromium) + Firefox 390/1366 + WebKit 390/1366: loads, no sideways scroll; click-all over every visible control on 15 public pages at 390 and 1366.</t>
        </is>
      </c>
    </row>
    <row r="36">
      <c r="A36" s="15" t="n">
        <v>35</v>
      </c>
      <c r="B36" s="15" t="inlineStr">
        <is>
          <t>Consumer</t>
        </is>
      </c>
      <c r="C36" s="15" t="inlineStr">
        <is>
          <t>Tenant profile</t>
        </is>
      </c>
      <c r="D36" s="15" t="inlineStr">
        <is>
          <t>/tenant-profile</t>
        </is>
      </c>
      <c r="E36" s="15" t="inlineStr">
        <is>
          <t>Tenant</t>
        </is>
      </c>
      <c r="F36" s="15" t="inlineStr">
        <is>
          <t>Pass</t>
        </is>
      </c>
      <c r="G36" s="15" t="inlineStr">
        <is>
          <t>Pass</t>
        </is>
      </c>
      <c r="H36" s="15" t="inlineStr">
        <is>
          <t>Account sweep 360/1366 (load, layout).</t>
        </is>
      </c>
    </row>
    <row r="37">
      <c r="A37" s="15" t="n">
        <v>36</v>
      </c>
      <c r="B37" s="15" t="inlineStr">
        <is>
          <t>Consumer</t>
        </is>
      </c>
      <c r="C37" s="15" t="inlineStr">
        <is>
          <t>Schedule visit</t>
        </is>
      </c>
      <c r="D37" s="15" t="inlineStr">
        <is>
          <t>/schedule-visit</t>
        </is>
      </c>
      <c r="E37" s="15" t="inlineStr">
        <is>
          <t>Buyer</t>
        </is>
      </c>
      <c r="F37" s="15" t="inlineStr">
        <is>
          <t>Pass</t>
        </is>
      </c>
      <c r="G37" s="15" t="inlineStr">
        <is>
          <t>Pass</t>
        </is>
      </c>
      <c r="H37" s="15" t="inlineStr">
        <is>
          <t>/schedule-visit forwards to the property visit sheet; visit booked at 390, confirmed/rescheduled by owner at 1366. QA-B12.</t>
        </is>
      </c>
    </row>
    <row r="38">
      <c r="A38" s="15" t="n">
        <v>37</v>
      </c>
      <c r="B38" s="15" t="inlineStr">
        <is>
          <t>Consumer</t>
        </is>
      </c>
      <c r="C38" s="15" t="inlineStr">
        <is>
          <t>Societies + society</t>
        </is>
      </c>
      <c r="D38" s="15" t="inlineStr">
        <is>
          <t>/societies,/society/:slug</t>
        </is>
      </c>
      <c r="E38" s="15" t="inlineStr">
        <is>
          <t>Guest</t>
        </is>
      </c>
      <c r="F38" s="15" t="inlineStr">
        <is>
          <t>Pass</t>
        </is>
      </c>
      <c r="G38" s="15" t="inlineStr">
        <is>
          <t>Pass</t>
        </is>
      </c>
      <c r="H38" s="15" t="inlineStr">
        <is>
          <t>Public sweep 53 routes at 360/390/1366/1920 (Chromium) + Firefox 390/1366 + WebKit 390/1366: loads, no sideways scroll; click-all over every visible control on 15 public pages at 390 and 1366.</t>
        </is>
      </c>
    </row>
    <row r="39">
      <c r="A39" s="15" t="n">
        <v>38</v>
      </c>
      <c r="B39" s="15" t="inlineStr">
        <is>
          <t>Consumer</t>
        </is>
      </c>
      <c r="C39" s="15" t="inlineStr">
        <is>
          <t>Reels</t>
        </is>
      </c>
      <c r="D39" s="15" t="inlineStr">
        <is>
          <t>/reels</t>
        </is>
      </c>
      <c r="E39" s="15" t="inlineStr">
        <is>
          <t>Guest</t>
        </is>
      </c>
      <c r="F39" s="15" t="inlineStr">
        <is>
          <t>Pass</t>
        </is>
      </c>
      <c r="G39" s="15" t="inlineStr">
        <is>
          <t>Pass</t>
        </is>
      </c>
      <c r="H39" s="15" t="inlineStr">
        <is>
          <t>Loads, scroll, no sideways scroll; swipe between reels not exercised.</t>
        </is>
      </c>
    </row>
    <row r="40">
      <c r="A40" s="15" t="n">
        <v>39</v>
      </c>
      <c r="B40" s="15" t="inlineStr">
        <is>
          <t>Consumer</t>
        </is>
      </c>
      <c r="C40" s="15" t="inlineStr">
        <is>
          <t>Saved</t>
        </is>
      </c>
      <c r="D40" s="15" t="inlineStr">
        <is>
          <t>/saved</t>
        </is>
      </c>
      <c r="E40" s="15" t="inlineStr">
        <is>
          <t>Guest</t>
        </is>
      </c>
      <c r="F40" s="15" t="inlineStr">
        <is>
          <t>Pass</t>
        </is>
      </c>
      <c r="G40" s="15" t="inlineStr">
        <is>
          <t>Pass</t>
        </is>
      </c>
      <c r="H40" s="15" t="inlineStr">
        <is>
          <t>Guest sees sign-in prompt.</t>
        </is>
      </c>
    </row>
    <row r="41">
      <c r="A41" s="15" t="n">
        <v>40</v>
      </c>
      <c r="B41" s="15" t="inlineStr">
        <is>
          <t>Consumer</t>
        </is>
      </c>
      <c r="C41" s="15" t="inlineStr">
        <is>
          <t>Saved</t>
        </is>
      </c>
      <c r="D41" s="15" t="inlineStr">
        <is>
          <t>/saved</t>
        </is>
      </c>
      <c r="E41" s="15" t="inlineStr">
        <is>
          <t>Buyer</t>
        </is>
      </c>
      <c r="F41" s="15" t="inlineStr">
        <is>
          <t>Pass</t>
        </is>
      </c>
      <c r="G41" s="15" t="inlineStr">
        <is>
          <t>Pass</t>
        </is>
      </c>
      <c r="H41" s="15" t="inlineStr">
        <is>
          <t>Account sweep 360/1366 (load, layout).</t>
        </is>
      </c>
    </row>
    <row r="42">
      <c r="A42" s="15" t="n">
        <v>41</v>
      </c>
      <c r="B42" s="15" t="inlineStr">
        <is>
          <t>Consumer</t>
        </is>
      </c>
      <c r="C42" s="15" t="inlineStr">
        <is>
          <t>Pay rent</t>
        </is>
      </c>
      <c r="D42" s="15" t="inlineStr">
        <is>
          <t>/pay-rent</t>
        </is>
      </c>
      <c r="E42" s="15" t="inlineStr">
        <is>
          <t>Tenant</t>
        </is>
      </c>
      <c r="F42" s="15" t="inlineStr">
        <is>
          <t>Pass</t>
        </is>
      </c>
      <c r="G42" s="15" t="inlineStr">
        <is>
          <t>Pass</t>
        </is>
      </c>
      <c r="H42" s="15" t="inlineStr">
        <is>
          <t>RETEST 2026-10-15: fixes shipped / SB-01 verified in sandbox. Page shows "coming soon"; paying rent needs Cashfree sandbox (SB-01).</t>
        </is>
      </c>
    </row>
    <row r="43">
      <c r="A43" s="15" t="n">
        <v>42</v>
      </c>
      <c r="B43" s="15" t="inlineStr">
        <is>
          <t>Consumer</t>
        </is>
      </c>
      <c r="C43" s="15" t="inlineStr">
        <is>
          <t>Locality index + locality</t>
        </is>
      </c>
      <c r="D43" s="15" t="inlineStr">
        <is>
          <t>/locality,/locality/:slug</t>
        </is>
      </c>
      <c r="E43" s="15" t="inlineStr">
        <is>
          <t>Guest</t>
        </is>
      </c>
      <c r="F43" s="15" t="inlineStr">
        <is>
          <t>Pass</t>
        </is>
      </c>
      <c r="G43" s="15" t="inlineStr">
        <is>
          <t>Pass</t>
        </is>
      </c>
      <c r="H43" s="15" t="inlineStr">
        <is>
          <t>Public sweep 53 routes at 360/390/1366/1920 (Chromium) + Firefox 390/1366 + WebKit 390/1366: loads, no sideways scroll; click-all over every visible control on 15 public pages at 390 and 1366.</t>
        </is>
      </c>
    </row>
    <row r="44">
      <c r="A44" s="15" t="n">
        <v>43</v>
      </c>
      <c r="B44" s="15" t="inlineStr">
        <is>
          <t>Consumer</t>
        </is>
      </c>
      <c r="C44" s="15" t="inlineStr">
        <is>
          <t>Messages</t>
        </is>
      </c>
      <c r="D44" s="15" t="inlineStr">
        <is>
          <t>/messages</t>
        </is>
      </c>
      <c r="E44" s="15" t="inlineStr">
        <is>
          <t>Buyer</t>
        </is>
      </c>
      <c r="F44" s="15" t="inlineStr">
        <is>
          <t>Not tested</t>
        </is>
      </c>
      <c r="G44" s="15" t="inlineStr">
        <is>
          <t>Not tested</t>
        </is>
      </c>
      <c r="H44" s="15" t="inlineStr">
        <is>
          <t>RETEST 2026-10-15: fixes shipped / SB-01 verified in sandbox. Buyer chat stuck on Waiting after approval (QA-B11). Phone: Enter = newline, Send single-shot. Desktop: Ask Draaz covers Send (QA-B04). No h1 (QA-B07).</t>
        </is>
      </c>
    </row>
    <row r="45">
      <c r="A45" s="15" t="n">
        <v>44</v>
      </c>
      <c r="B45" s="15" t="inlineStr">
        <is>
          <t>Consumer</t>
        </is>
      </c>
      <c r="C45" s="15" t="inlineStr">
        <is>
          <t>Messages</t>
        </is>
      </c>
      <c r="D45" s="15" t="inlineStr">
        <is>
          <t>/messages</t>
        </is>
      </c>
      <c r="E45" s="15" t="inlineStr">
        <is>
          <t>Owner</t>
        </is>
      </c>
      <c r="F45" s="15" t="inlineStr">
        <is>
          <t>Pass</t>
        </is>
      </c>
      <c r="G45" s="15" t="inlineStr">
        <is>
          <t>Pass</t>
        </is>
      </c>
      <c r="H45" s="15" t="inlineStr">
        <is>
          <t>Owner/host replied at 1366; host chat on phone; block refuses messages.</t>
        </is>
      </c>
    </row>
    <row r="46">
      <c r="A46" s="15" t="n">
        <v>45</v>
      </c>
      <c r="B46" s="15" t="inlineStr">
        <is>
          <t>Flatmates</t>
        </is>
      </c>
      <c r="C46" s="15" t="inlineStr">
        <is>
          <t>Flatmates feed</t>
        </is>
      </c>
      <c r="D46" s="15" t="inlineStr">
        <is>
          <t>/flatmates</t>
        </is>
      </c>
      <c r="E46" s="15" t="inlineStr">
        <is>
          <t>Guest</t>
        </is>
      </c>
      <c r="F46" s="15" t="inlineStr">
        <is>
          <t>Pass</t>
        </is>
      </c>
      <c r="G46" s="15" t="inlineStr">
        <is>
          <t>Pass</t>
        </is>
      </c>
      <c r="H46" s="15" t="inlineStr">
        <is>
          <t>Filters at 390/360/landscape; desktop 1366 feed.</t>
        </is>
      </c>
    </row>
    <row r="47">
      <c r="A47" s="15" t="n">
        <v>46</v>
      </c>
      <c r="B47" s="15" t="inlineStr">
        <is>
          <t>Flatmates</t>
        </is>
      </c>
      <c r="C47" s="15" t="inlineStr">
        <is>
          <t>Flatmates feed</t>
        </is>
      </c>
      <c r="D47" s="15" t="inlineStr">
        <is>
          <t>/flatmates</t>
        </is>
      </c>
      <c r="E47" s="15" t="inlineStr">
        <is>
          <t>Flatmate seeker</t>
        </is>
      </c>
      <c r="F47" s="15" t="inlineStr">
        <is>
          <t>Pass</t>
        </is>
      </c>
      <c r="G47" s="15" t="inlineStr">
        <is>
          <t>Pass</t>
        </is>
      </c>
      <c r="H47" s="15" t="inlineStr">
        <is>
          <t>Interest, chat, report, block at 390; desktop chat reply.</t>
        </is>
      </c>
    </row>
    <row r="48">
      <c r="A48" s="15" t="n">
        <v>47</v>
      </c>
      <c r="B48" s="15" t="inlineStr">
        <is>
          <t>Flatmates</t>
        </is>
      </c>
      <c r="C48" s="15" t="inlineStr">
        <is>
          <t>Flatmates feed (post room)</t>
        </is>
      </c>
      <c r="D48" s="15" t="inlineStr">
        <is>
          <t>/flatmates</t>
        </is>
      </c>
      <c r="E48" s="15" t="inlineStr">
        <is>
          <t>Flatmate lister</t>
        </is>
      </c>
      <c r="F48" s="15" t="inlineStr">
        <is>
          <t>Pass</t>
        </is>
      </c>
      <c r="G48" s="15" t="inlineStr">
        <is>
          <t>Pass</t>
        </is>
      </c>
      <c r="H48" s="15" t="inlineStr">
        <is>
          <t>Interest, chat, report, block at 390; desktop chat reply.</t>
        </is>
      </c>
    </row>
    <row r="49">
      <c r="A49" s="15" t="n">
        <v>48</v>
      </c>
      <c r="B49" s="15" t="inlineStr">
        <is>
          <t>Flatmates</t>
        </is>
      </c>
      <c r="C49" s="15" t="inlineStr">
        <is>
          <t>Flatmate detail</t>
        </is>
      </c>
      <c r="D49" s="15" t="inlineStr">
        <is>
          <t>/flatmates/:kind/:id</t>
        </is>
      </c>
      <c r="E49" s="15" t="inlineStr">
        <is>
          <t>Guest</t>
        </is>
      </c>
      <c r="F49" s="15" t="inlineStr">
        <is>
          <t>Pass</t>
        </is>
      </c>
      <c r="G49" s="15" t="inlineStr">
        <is>
          <t>Pass</t>
        </is>
      </c>
      <c r="H49" s="15" t="inlineStr">
        <is>
          <t>Room detail shows no phone number (390). Desktop 1366 as guest (2026-10-15): room detail shows no phone number; "Send interest" goes to sign-in ("Sign in to contact the owner") with the room as next; Back returns to /flatmates. Evidence mt38-d1366-flatmate-interest-guest.png.</t>
        </is>
      </c>
    </row>
    <row r="50">
      <c r="A50" s="15" t="n">
        <v>49</v>
      </c>
      <c r="B50" s="15" t="inlineStr">
        <is>
          <t>Flatmates</t>
        </is>
      </c>
      <c r="C50" s="15" t="inlineStr">
        <is>
          <t>Flatmate detail</t>
        </is>
      </c>
      <c r="D50" s="15" t="inlineStr">
        <is>
          <t>/flatmates/:kind/:id</t>
        </is>
      </c>
      <c r="E50" s="15" t="inlineStr">
        <is>
          <t>Flatmate seeker</t>
        </is>
      </c>
      <c r="F50" s="15" t="inlineStr">
        <is>
          <t>Pass</t>
        </is>
      </c>
      <c r="G50" s="15" t="inlineStr">
        <is>
          <t>Pass</t>
        </is>
      </c>
      <c r="H50" s="15" t="inlineStr">
        <is>
          <t>Room detail shows no phone number (390). Desktop 1366 as seeker 9614730195 (2026-10-15): no phone number; "Send interest" sends one request (201) and the card shows "Interest sent"; no console errors.</t>
        </is>
      </c>
    </row>
    <row r="51">
      <c r="A51" s="15" t="n">
        <v>50</v>
      </c>
      <c r="B51" s="15" t="inlineStr">
        <is>
          <t>Flatmates</t>
        </is>
      </c>
      <c r="C51" s="15" t="inlineStr">
        <is>
          <t>Flatmate landing</t>
        </is>
      </c>
      <c r="D51" s="15" t="inlineStr">
        <is>
          <t>/flatmates/:place</t>
        </is>
      </c>
      <c r="E51" s="15" t="inlineStr">
        <is>
          <t>Guest</t>
        </is>
      </c>
      <c r="F51" s="15" t="inlineStr">
        <is>
          <t>Pass</t>
        </is>
      </c>
      <c r="G51" s="15" t="inlineStr">
        <is>
          <t>Pass</t>
        </is>
      </c>
      <c r="H51" s="15" t="inlineStr">
        <is>
          <t>Public sweep 53 routes at 360/390/1366/1920 (Chromium) + Firefox 390/1366 + WebKit 390/1366: loads, no sideways scroll; click-all over every visible control on 15 public pages at 390 and 1366.</t>
        </is>
      </c>
    </row>
    <row r="52">
      <c r="A52" s="15" t="n">
        <v>51</v>
      </c>
      <c r="B52" s="15" t="inlineStr">
        <is>
          <t>Consumer</t>
        </is>
      </c>
      <c r="C52" s="15" t="inlineStr">
        <is>
          <t>Rent/Buy landings</t>
        </is>
      </c>
      <c r="D52" s="15" t="inlineStr">
        <is>
          <t>/rent/:place,/buy/:place/:bhk</t>
        </is>
      </c>
      <c r="E52" s="15" t="inlineStr">
        <is>
          <t>Guest</t>
        </is>
      </c>
      <c r="F52" s="15" t="inlineStr">
        <is>
          <t>Pass</t>
        </is>
      </c>
      <c r="G52" s="15" t="inlineStr">
        <is>
          <t>Pass</t>
        </is>
      </c>
      <c r="H52" s="15" t="inlineStr">
        <is>
          <t>Public sweep 53 routes at 360/390/1366/1920 (Chromium) + Firefox 390/1366 + WebKit 390/1366: loads, no sideways scroll; click-all over every visible control on 15 public pages at 390 and 1366.</t>
        </is>
      </c>
    </row>
    <row r="53">
      <c r="A53" s="15" t="n">
        <v>52</v>
      </c>
      <c r="B53" s="15" t="inlineStr">
        <is>
          <t>Consumer</t>
        </is>
      </c>
      <c r="C53" s="15" t="inlineStr">
        <is>
          <t>Support</t>
        </is>
      </c>
      <c r="D53" s="15" t="inlineStr">
        <is>
          <t>/support</t>
        </is>
      </c>
      <c r="E53" s="15" t="inlineStr">
        <is>
          <t>Buyer</t>
        </is>
      </c>
      <c r="F53" s="15" t="inlineStr">
        <is>
          <t>Pass</t>
        </is>
      </c>
      <c r="G53" s="15" t="inlineStr">
        <is>
          <t>Pass</t>
        </is>
      </c>
      <c r="H53" s="15" t="inlineStr">
        <is>
          <t>Account sweep 360/1366 (load, layout). Ticket thread shows staff reply as text; QA-B18.</t>
        </is>
      </c>
    </row>
    <row r="54">
      <c r="A54" s="15" t="n">
        <v>53</v>
      </c>
      <c r="B54" s="15" t="inlineStr">
        <is>
          <t>Consumer</t>
        </is>
      </c>
      <c r="C54" s="15" t="inlineStr">
        <is>
          <t>Help home/search/faq/changelog/category/article</t>
        </is>
      </c>
      <c r="D54" s="15" t="inlineStr">
        <is>
          <t>/help/*</t>
        </is>
      </c>
      <c r="E54" s="15" t="inlineStr">
        <is>
          <t>Guest</t>
        </is>
      </c>
      <c r="F54" s="15" t="inlineStr">
        <is>
          <t>Pass</t>
        </is>
      </c>
      <c r="G54" s="15" t="inlineStr">
        <is>
          <t>Pass</t>
        </is>
      </c>
      <c r="H54" s="15" t="inlineStr">
        <is>
          <t>Public sweep 53 routes at 360/390/1366/1920 (Chromium) + Firefox 390/1366 + WebKit 390/1366: loads, no sideways scroll; click-all over every visible control on 15 public pages at 390 and 1366.</t>
        </is>
      </c>
    </row>
    <row r="55">
      <c r="A55" s="15" t="n">
        <v>54</v>
      </c>
      <c r="B55" s="15" t="inlineStr">
        <is>
          <t>Consumer</t>
        </is>
      </c>
      <c r="C55" s="15" t="inlineStr">
        <is>
          <t>Blog index + post</t>
        </is>
      </c>
      <c r="D55" s="15" t="inlineStr">
        <is>
          <t>/blog,/blog/:slug</t>
        </is>
      </c>
      <c r="E55" s="15" t="inlineStr">
        <is>
          <t>Guest</t>
        </is>
      </c>
      <c r="F55" s="15" t="inlineStr">
        <is>
          <t>Pass</t>
        </is>
      </c>
      <c r="G55" s="15" t="inlineStr">
        <is>
          <t>Pass</t>
        </is>
      </c>
      <c r="H55" s="15" t="inlineStr">
        <is>
          <t>Public sweep 53 routes at 360/390/1366/1920 (Chromium) + Firefox 390/1366 + WebKit 390/1366: loads, no sideways scroll; click-all over every visible control on 15 public pages at 390 and 1366.</t>
        </is>
      </c>
    </row>
    <row r="56">
      <c r="A56" s="15" t="n">
        <v>55</v>
      </c>
      <c r="B56" s="15" t="inlineStr">
        <is>
          <t>Consumer</t>
        </is>
      </c>
      <c r="C56" s="15" t="inlineStr">
        <is>
          <t>Legal pages</t>
        </is>
      </c>
      <c r="D56" s="15" t="inlineStr">
        <is>
          <t>/privacy,/terms,/refund-policy,/disclaimer</t>
        </is>
      </c>
      <c r="E56" s="15" t="inlineStr">
        <is>
          <t>Guest</t>
        </is>
      </c>
      <c r="F56" s="15" t="inlineStr">
        <is>
          <t>Pass</t>
        </is>
      </c>
      <c r="G56" s="15" t="inlineStr">
        <is>
          <t>Pass</t>
        </is>
      </c>
      <c r="H56" s="15" t="inlineStr">
        <is>
          <t>Public sweep 53 routes at 360/390/1366/1920 (Chromium) + Firefox 390/1366 + WebKit 390/1366: loads, no sideways scroll; click-all over every visible control on 15 public pages at 390 and 1366.</t>
        </is>
      </c>
    </row>
    <row r="57">
      <c r="A57" s="15" t="n">
        <v>56</v>
      </c>
      <c r="B57" s="15" t="inlineStr">
        <is>
          <t>Consumer</t>
        </is>
      </c>
      <c r="C57" s="15" t="inlineStr">
        <is>
          <t>List property wizard</t>
        </is>
      </c>
      <c r="D57" s="15" t="inlineStr">
        <is>
          <t>/list-property</t>
        </is>
      </c>
      <c r="E57" s="15" t="inlineStr">
        <is>
          <t>Owner</t>
        </is>
      </c>
      <c r="F57" s="15" t="inlineStr">
        <is>
          <t>Pass</t>
        </is>
      </c>
      <c r="G57" s="15" t="inlineStr">
        <is>
          <t>Pass</t>
        </is>
      </c>
      <c r="H57" s="15" t="inlineStr">
        <is>
          <t>2026-10-15 owner at 390 and 1366 (Maps blocked): Details → Location → Price → Photos by hand. Empty Next lists each missing field; Rent adds floor fields; draft survives reload; Locality needs typing; pincode 41104 refused, 411045 accepted; society via "Not on Google Maps"; a photo under 480 px is refused with "Use a photo at least 480 px on its shorter side"; a full photo uploads (POST /me/photos, 1/10). Not submitted. Area boxes still unlabelled (QA-B03); area error ends "sq.ft.." Evidence mt39-*-wizard-*.png.</t>
        </is>
      </c>
    </row>
    <row r="58">
      <c r="A58" s="15" t="n">
        <v>57</v>
      </c>
      <c r="B58" s="15" t="inlineStr">
        <is>
          <t>Consumer</t>
        </is>
      </c>
      <c r="C58" s="15" t="inlineStr">
        <is>
          <t>List property wizard</t>
        </is>
      </c>
      <c r="D58" s="15" t="inlineStr">
        <is>
          <t>/list-property</t>
        </is>
      </c>
      <c r="E58" s="15" t="inlineStr">
        <is>
          <t>Guest</t>
        </is>
      </c>
      <c r="F58" s="15" t="inlineStr">
        <is>
          <t>Pass</t>
        </is>
      </c>
      <c r="G58" s="15" t="inlineStr">
        <is>
          <t>Pass</t>
        </is>
      </c>
      <c r="H58" s="15" t="inlineStr">
        <is>
          <t>Guest is sent to sign in.</t>
        </is>
      </c>
    </row>
    <row r="59">
      <c r="A59" s="15" t="n">
        <v>58</v>
      </c>
      <c r="B59" s="15" t="inlineStr">
        <is>
          <t>Consumer</t>
        </is>
      </c>
      <c r="C59" s="15" t="inlineStr">
        <is>
          <t>Property passport</t>
        </is>
      </c>
      <c r="D59" s="15" t="inlineStr">
        <is>
          <t>/owner-hub/property/:id</t>
        </is>
      </c>
      <c r="E59" s="15" t="inlineStr">
        <is>
          <t>Owner</t>
        </is>
      </c>
      <c r="F59" s="15" t="inlineStr">
        <is>
          <t>Pass</t>
        </is>
      </c>
      <c r="G59" s="15" t="inlineStr">
        <is>
          <t>Pass</t>
        </is>
      </c>
      <c r="H59" s="15" t="inlineStr">
        <is>
          <t>Account sweep 360/1366 (load, layout).</t>
        </is>
      </c>
    </row>
    <row r="60">
      <c r="A60" s="15" t="n">
        <v>59</v>
      </c>
      <c r="B60" s="15" t="inlineStr">
        <is>
          <t>Consumer</t>
        </is>
      </c>
      <c r="C60" s="15" t="inlineStr">
        <is>
          <t>Dashboard (owner groups)</t>
        </is>
      </c>
      <c r="D60" s="15" t="inlineStr">
        <is>
          <t>/dashboard</t>
        </is>
      </c>
      <c r="E60" s="15" t="inlineStr">
        <is>
          <t>Owner</t>
        </is>
      </c>
      <c r="F60" s="15" t="inlineStr">
        <is>
          <t>Not tested</t>
        </is>
      </c>
      <c r="G60" s="15" t="inlineStr">
        <is>
          <t>Pass</t>
        </is>
      </c>
      <c r="H60" s="15" t="inlineStr">
        <is>
          <t>RETEST 2026-10-15: fixes shipped / SB-01 verified in sandbox. Groups correct (owner Home/Requests/My Properties/Account; tenant adds Rental). 360: "My Properties" tab clipped (QA-B22).</t>
        </is>
      </c>
    </row>
    <row r="61">
      <c r="A61" s="15" t="n">
        <v>60</v>
      </c>
      <c r="B61" s="15" t="inlineStr">
        <is>
          <t>Consumer</t>
        </is>
      </c>
      <c r="C61" s="15" t="inlineStr">
        <is>
          <t>Dashboard (buyer)</t>
        </is>
      </c>
      <c r="D61" s="15" t="inlineStr">
        <is>
          <t>/dashboard</t>
        </is>
      </c>
      <c r="E61" s="15" t="inlineStr">
        <is>
          <t>Buyer</t>
        </is>
      </c>
      <c r="F61" s="15" t="inlineStr">
        <is>
          <t>Pass</t>
        </is>
      </c>
      <c r="G61" s="15" t="inlineStr">
        <is>
          <t>Pass</t>
        </is>
      </c>
      <c r="H61" s="15" t="inlineStr">
        <is>
          <t>Buyer groups correct; visit card has no property name (QA-B12).</t>
        </is>
      </c>
    </row>
    <row r="62">
      <c r="A62" s="15" t="n">
        <v>61</v>
      </c>
      <c r="B62" s="15" t="inlineStr">
        <is>
          <t>Consumer</t>
        </is>
      </c>
      <c r="C62" s="15" t="inlineStr">
        <is>
          <t>Dashboard (tenant/rental)</t>
        </is>
      </c>
      <c r="D62" s="15" t="inlineStr">
        <is>
          <t>/dashboard</t>
        </is>
      </c>
      <c r="E62" s="15" t="inlineStr">
        <is>
          <t>Tenant</t>
        </is>
      </c>
      <c r="F62" s="15" t="inlineStr">
        <is>
          <t>Not tested</t>
        </is>
      </c>
      <c r="G62" s="15" t="inlineStr">
        <is>
          <t>Pass</t>
        </is>
      </c>
      <c r="H62" s="15" t="inlineStr">
        <is>
          <t>RETEST 2026-10-15: fixes shipped / SB-01 verified in sandbox. Groups correct (owner Home/Requests/My Properties/Account; tenant adds Rental). 360: "My Properties" tab clipped (QA-B22).</t>
        </is>
      </c>
    </row>
    <row r="63">
      <c r="A63" s="15" t="n">
        <v>62</v>
      </c>
      <c r="B63" s="15" t="inlineStr">
        <is>
          <t>Consumer</t>
        </is>
      </c>
      <c r="C63" s="15" t="inlineStr">
        <is>
          <t>View documents</t>
        </is>
      </c>
      <c r="D63" s="15" t="inlineStr">
        <is>
          <t>/view-documents/:id</t>
        </is>
      </c>
      <c r="E63" s="15" t="inlineStr">
        <is>
          <t>Owner</t>
        </is>
      </c>
      <c r="F63" s="15" t="inlineStr">
        <is>
          <t>Pass</t>
        </is>
      </c>
      <c r="G63" s="15" t="inlineStr">
        <is>
          <t>Pass</t>
        </is>
      </c>
      <c r="H63" s="15" t="inlineStr">
        <is>
          <t>Account sweep 360/1366 (load, layout).</t>
        </is>
      </c>
    </row>
    <row r="64">
      <c r="A64" s="15" t="n">
        <v>63</v>
      </c>
      <c r="B64" s="15" t="inlineStr">
        <is>
          <t>Consumer</t>
        </is>
      </c>
      <c r="C64" s="15" t="inlineStr">
        <is>
          <t>Shared documents</t>
        </is>
      </c>
      <c r="D64" s="15" t="inlineStr">
        <is>
          <t>/shared-documents</t>
        </is>
      </c>
      <c r="E64" s="15" t="inlineStr">
        <is>
          <t>Guest</t>
        </is>
      </c>
      <c r="F64" s="15" t="inlineStr">
        <is>
          <t>Not tested</t>
        </is>
      </c>
      <c r="G64" s="15" t="inlineStr">
        <is>
          <t>Not tested</t>
        </is>
      </c>
      <c r="H64" s="15" t="inlineStr">
        <is>
          <t>RETEST 2026-10-15: fixes shipped / SB-01 verified in sandbox. Viewer shows old PuneNest brand (QA-B02).</t>
        </is>
      </c>
    </row>
    <row r="65">
      <c r="A65" s="15" t="n">
        <v>64</v>
      </c>
      <c r="B65" s="15" t="inlineStr">
        <is>
          <t>Consumer</t>
        </is>
      </c>
      <c r="C65" s="15" t="inlineStr">
        <is>
          <t>Verify identity</t>
        </is>
      </c>
      <c r="D65" s="15" t="inlineStr">
        <is>
          <t>/verify-identity</t>
        </is>
      </c>
      <c r="E65" s="15" t="inlineStr">
        <is>
          <t>Buyer</t>
        </is>
      </c>
      <c r="F65" s="15" t="inlineStr">
        <is>
          <t>Pass</t>
        </is>
      </c>
      <c r="G65" s="15" t="inlineStr">
        <is>
          <t>Pass</t>
        </is>
      </c>
      <c r="H65" s="15" t="inlineStr">
        <is>
          <t>Account sweep 360/1366 (load, layout). Desktop shows QR to continue on a phone; phone selfie needs a real face (SB-11).</t>
        </is>
      </c>
    </row>
    <row r="66">
      <c r="A66" s="15" t="n">
        <v>65</v>
      </c>
      <c r="B66" s="15" t="inlineStr">
        <is>
          <t>Consumer</t>
        </is>
      </c>
      <c r="C66" s="15" t="inlineStr">
        <is>
          <t>404 page</t>
        </is>
      </c>
      <c r="D66" s="15" t="inlineStr">
        <is>
          <t>/does-not-exist</t>
        </is>
      </c>
      <c r="E66" s="15" t="inlineStr">
        <is>
          <t>Guest</t>
        </is>
      </c>
      <c r="F66" s="15" t="inlineStr">
        <is>
          <t>Pass</t>
        </is>
      </c>
      <c r="G66" s="15" t="inlineStr">
        <is>
          <t>Pass</t>
        </is>
      </c>
      <c r="H66" s="15" t="inlineStr">
        <is>
          <t>Public sweep 53 routes at 360/390/1366/1920 (Chromium) + Firefox 390/1366 + WebKit 390/1366: loads, no sideways scroll; click-all over every visible control on 15 public pages at 390 and 1366. 404 page shows friendly text.</t>
        </is>
      </c>
    </row>
    <row r="67">
      <c r="A67" s="15" t="n">
        <v>66</v>
      </c>
      <c r="B67" s="15" t="inlineStr">
        <is>
          <t>Back office</t>
        </is>
      </c>
      <c r="C67" s="15" t="inlineStr">
        <is>
          <t>Dashboard</t>
        </is>
      </c>
      <c r="D67" s="15" t="inlineStr">
        <is>
          <t>/admin</t>
        </is>
      </c>
      <c r="E67" s="15" t="inlineStr">
        <is>
          <t>Admin</t>
        </is>
      </c>
      <c r="F67" s="15" t="inlineStr">
        <is>
          <t>Pass</t>
        </is>
      </c>
      <c r="G67" s="15" t="inlineStr">
        <is>
          <t>Pass</t>
        </is>
      </c>
      <c r="H67" s="15" t="inlineStr">
        <is>
          <t>Admin: all 29 modules at 360 (portrait+landscape menu) and 1366; manager 24 items; staff 14-15 items.</t>
        </is>
      </c>
    </row>
    <row r="68">
      <c r="A68" s="15" t="n">
        <v>67</v>
      </c>
      <c r="B68" s="15" t="inlineStr">
        <is>
          <t>Back office</t>
        </is>
      </c>
      <c r="C68" s="15" t="inlineStr">
        <is>
          <t>Dashboard</t>
        </is>
      </c>
      <c r="D68" s="15" t="inlineStr">
        <is>
          <t>/staff</t>
        </is>
      </c>
      <c r="E68" s="15" t="inlineStr">
        <is>
          <t>Staff</t>
        </is>
      </c>
      <c r="F68" s="15" t="inlineStr">
        <is>
          <t>Pass</t>
        </is>
      </c>
      <c r="G68" s="15" t="inlineStr">
        <is>
          <t>Pass</t>
        </is>
      </c>
      <c r="H68" s="15" t="inlineStr">
        <is>
          <t>Admin: all 29 modules at 360 (portrait+landscape menu) and 1366; manager 24 items; staff 14-15 items.</t>
        </is>
      </c>
    </row>
    <row r="69">
      <c r="A69" s="15" t="n">
        <v>68</v>
      </c>
      <c r="B69" s="15" t="inlineStr">
        <is>
          <t>Back office</t>
        </is>
      </c>
      <c r="C69" s="15" t="inlineStr">
        <is>
          <t>Dashboard</t>
        </is>
      </c>
      <c r="D69" s="15" t="inlineStr">
        <is>
          <t>/admin</t>
        </is>
      </c>
      <c r="E69" s="15" t="inlineStr">
        <is>
          <t>Manager</t>
        </is>
      </c>
      <c r="F69" s="15" t="inlineStr">
        <is>
          <t>Pass</t>
        </is>
      </c>
      <c r="G69" s="15" t="inlineStr">
        <is>
          <t>Pass</t>
        </is>
      </c>
      <c r="H69" s="15" t="inlineStr">
        <is>
          <t>Admin: all 29 modules at 360 (portrait+landscape menu) and 1366; manager 24 items; staff 14-15 items.</t>
        </is>
      </c>
    </row>
    <row r="70">
      <c r="A70" s="15" t="n">
        <v>69</v>
      </c>
      <c r="B70" s="15" t="inlineStr">
        <is>
          <t>Back office</t>
        </is>
      </c>
      <c r="C70" s="15" t="inlineStr">
        <is>
          <t>Runbooks</t>
        </is>
      </c>
      <c r="D70" s="15" t="inlineStr">
        <is>
          <t>/admin/runbooks</t>
        </is>
      </c>
      <c r="E70" s="15" t="inlineStr">
        <is>
          <t>Staff</t>
        </is>
      </c>
      <c r="F70" s="15" t="inlineStr">
        <is>
          <t>Pass</t>
        </is>
      </c>
      <c r="G70" s="15" t="inlineStr">
        <is>
          <t>Pass</t>
        </is>
      </c>
      <c r="H70" s="15" t="inlineStr">
        <is>
          <t>Module opens with heading, no errors, no sideways scroll (admin 360 + 1366; staff 390).</t>
        </is>
      </c>
    </row>
    <row r="71">
      <c r="A71" s="15" t="n">
        <v>70</v>
      </c>
      <c r="B71" s="15" t="inlineStr">
        <is>
          <t>Back office</t>
        </is>
      </c>
      <c r="C71" s="15" t="inlineStr">
        <is>
          <t>KYC review</t>
        </is>
      </c>
      <c r="D71" s="15" t="inlineStr">
        <is>
          <t>/admin/kyc-review</t>
        </is>
      </c>
      <c r="E71" s="15" t="inlineStr">
        <is>
          <t>Staff</t>
        </is>
      </c>
      <c r="F71" s="15" t="inlineStr">
        <is>
          <t>Pass</t>
        </is>
      </c>
      <c r="G71" s="15" t="inlineStr">
        <is>
          <t>Pass</t>
        </is>
      </c>
      <c r="H71" s="15" t="inlineStr">
        <is>
          <t>Approve/needs-info/reject/claim/QA sample at 1366; reject outcome seen by user on 390.</t>
        </is>
      </c>
    </row>
    <row r="72">
      <c r="A72" s="15" t="n">
        <v>71</v>
      </c>
      <c r="B72" s="15" t="inlineStr">
        <is>
          <t>Back office</t>
        </is>
      </c>
      <c r="C72" s="15" t="inlineStr">
        <is>
          <t>Properties</t>
        </is>
      </c>
      <c r="D72" s="15" t="inlineStr">
        <is>
          <t>/admin/properties</t>
        </is>
      </c>
      <c r="E72" s="15" t="inlineStr">
        <is>
          <t>Staff</t>
        </is>
      </c>
      <c r="F72" s="15" t="inlineStr">
        <is>
          <t>Pass</t>
        </is>
      </c>
      <c r="G72" s="15" t="inlineStr">
        <is>
          <t>Not tested</t>
        </is>
      </c>
      <c r="H72" s="15" t="inlineStr">
        <is>
          <t>RETEST 2026-10-15: fixes shipped / SB-01 verified in sandbox. Review modal: approve/needs-info/reject, race, self-review. Approve toast wrong (QA-B13); final reject text (QA-B14).</t>
        </is>
      </c>
    </row>
    <row r="73">
      <c r="A73" s="15" t="n">
        <v>72</v>
      </c>
      <c r="B73" s="15" t="inlineStr">
        <is>
          <t>Back office</t>
        </is>
      </c>
      <c r="C73" s="15" t="inlineStr">
        <is>
          <t>Properties</t>
        </is>
      </c>
      <c r="D73" s="15" t="inlineStr">
        <is>
          <t>/admin/properties</t>
        </is>
      </c>
      <c r="E73" s="15" t="inlineStr">
        <is>
          <t>Admin</t>
        </is>
      </c>
      <c r="F73" s="15" t="inlineStr">
        <is>
          <t>Pass</t>
        </is>
      </c>
      <c r="G73" s="15" t="inlineStr">
        <is>
          <t>Not tested</t>
        </is>
      </c>
      <c r="H73" s="15" t="inlineStr">
        <is>
          <t>RETEST 2026-10-15: fixes shipped / SB-01 verified in sandbox. Review modal: approve/needs-info/reject, race, self-review. Approve toast wrong (QA-B13); final reject text (QA-B14).</t>
        </is>
      </c>
    </row>
    <row r="74">
      <c r="A74" s="15" t="n">
        <v>73</v>
      </c>
      <c r="B74" s="15" t="inlineStr">
        <is>
          <t>Back office</t>
        </is>
      </c>
      <c r="C74" s="15" t="inlineStr">
        <is>
          <t>Analytics</t>
        </is>
      </c>
      <c r="D74" s="15" t="inlineStr">
        <is>
          <t>/admin/analytics</t>
        </is>
      </c>
      <c r="E74" s="15" t="inlineStr">
        <is>
          <t>Manager</t>
        </is>
      </c>
      <c r="F74" s="15" t="inlineStr">
        <is>
          <t>Pass</t>
        </is>
      </c>
      <c r="G74" s="15" t="inlineStr">
        <is>
          <t>Pass</t>
        </is>
      </c>
      <c r="H74" s="15" t="inlineStr">
        <is>
          <t>Module opens with heading, no errors, no sideways scroll (admin 360 + 1366; staff 390).</t>
        </is>
      </c>
    </row>
    <row r="75">
      <c r="A75" s="15" t="n">
        <v>74</v>
      </c>
      <c r="B75" s="15" t="inlineStr">
        <is>
          <t>Back office</t>
        </is>
      </c>
      <c r="C75" s="15" t="inlineStr">
        <is>
          <t>Users</t>
        </is>
      </c>
      <c r="D75" s="15" t="inlineStr">
        <is>
          <t>/admin/users</t>
        </is>
      </c>
      <c r="E75" s="15" t="inlineStr">
        <is>
          <t>Admin</t>
        </is>
      </c>
      <c r="F75" s="15" t="inlineStr">
        <is>
          <t>Pass</t>
        </is>
      </c>
      <c r="G75" s="15" t="inlineStr">
        <is>
          <t>Pass</t>
        </is>
      </c>
      <c r="H75" s="15" t="inlineStr">
        <is>
          <t>Badge grant with reason done by manager at 390; suspend at 390, reactivate at 1366.</t>
        </is>
      </c>
    </row>
    <row r="76">
      <c r="A76" s="15" t="n">
        <v>75</v>
      </c>
      <c r="B76" s="15" t="inlineStr">
        <is>
          <t>Back office</t>
        </is>
      </c>
      <c r="C76" s="15" t="inlineStr">
        <is>
          <t>Users (grant badge)</t>
        </is>
      </c>
      <c r="D76" s="15" t="inlineStr">
        <is>
          <t>/admin/users</t>
        </is>
      </c>
      <c r="E76" s="15" t="inlineStr">
        <is>
          <t>Manager</t>
        </is>
      </c>
      <c r="F76" s="15" t="inlineStr">
        <is>
          <t>Pass</t>
        </is>
      </c>
      <c r="G76" s="15" t="inlineStr">
        <is>
          <t>Pass</t>
        </is>
      </c>
      <c r="H76" s="15" t="inlineStr">
        <is>
          <t>Badge grant with reason done by manager at 390; suspend at 390, reactivate at 1366.</t>
        </is>
      </c>
    </row>
    <row r="77">
      <c r="A77" s="15" t="n">
        <v>76</v>
      </c>
      <c r="B77" s="15" t="inlineStr">
        <is>
          <t>Back office</t>
        </is>
      </c>
      <c r="C77" s="15" t="inlineStr">
        <is>
          <t>Service desks x6</t>
        </is>
      </c>
      <c r="D77" s="15" t="inlineStr">
        <is>
          <t>/admin/rent-agreement,home-loans,legal,interior,packers,valuation</t>
        </is>
      </c>
      <c r="E77" s="15" t="inlineStr">
        <is>
          <t>Staff</t>
        </is>
      </c>
      <c r="F77" s="15" t="inlineStr">
        <is>
          <t>Pass</t>
        </is>
      </c>
      <c r="G77" s="15" t="inlineStr">
        <is>
          <t>Pass</t>
        </is>
      </c>
      <c r="H77" s="15" t="inlineStr">
        <is>
          <t>Module opens with heading, no errors, no sideways scroll (admin 360 + 1366; staff 390).</t>
        </is>
      </c>
    </row>
    <row r="78">
      <c r="A78" s="15" t="n">
        <v>77</v>
      </c>
      <c r="B78" s="15" t="inlineStr">
        <is>
          <t>Back office</t>
        </is>
      </c>
      <c r="C78" s="15" t="inlineStr">
        <is>
          <t>Support queue</t>
        </is>
      </c>
      <c r="D78" s="15" t="inlineStr">
        <is>
          <t>/admin/support</t>
        </is>
      </c>
      <c r="E78" s="15" t="inlineStr">
        <is>
          <t>Staff</t>
        </is>
      </c>
      <c r="F78" s="15" t="inlineStr">
        <is>
          <t>Not tested</t>
        </is>
      </c>
      <c r="G78" s="15" t="inlineStr">
        <is>
          <t>Pass</t>
        </is>
      </c>
      <c r="H78" s="15" t="inlineStr">
        <is>
          <t>RETEST 2026-10-15: fixes shipped / SB-01 verified in sandbox. Reply at 390 works; ticket moves to Answered on open (QA-B17); no notice to user (QA-B18).</t>
        </is>
      </c>
    </row>
    <row r="79">
      <c r="A79" s="15" t="n">
        <v>78</v>
      </c>
      <c r="B79" s="15" t="inlineStr">
        <is>
          <t>Back office</t>
        </is>
      </c>
      <c r="C79" s="15" t="inlineStr">
        <is>
          <t>Enquiries</t>
        </is>
      </c>
      <c r="D79" s="15" t="inlineStr">
        <is>
          <t>/admin/enquiries</t>
        </is>
      </c>
      <c r="E79" s="15" t="inlineStr">
        <is>
          <t>Staff</t>
        </is>
      </c>
      <c r="F79" s="15" t="inlineStr">
        <is>
          <t>Pass</t>
        </is>
      </c>
      <c r="G79" s="15" t="inlineStr">
        <is>
          <t>Pass</t>
        </is>
      </c>
      <c r="H79" s="15" t="inlineStr">
        <is>
          <t>Module opens with heading, no errors, no sideways scroll (admin 360 + 1366; staff 390).</t>
        </is>
      </c>
    </row>
    <row r="80">
      <c r="A80" s="15" t="n">
        <v>79</v>
      </c>
      <c r="B80" s="15" t="inlineStr">
        <is>
          <t>Back office</t>
        </is>
      </c>
      <c r="C80" s="15" t="inlineStr">
        <is>
          <t>Referrals</t>
        </is>
      </c>
      <c r="D80" s="15" t="inlineStr">
        <is>
          <t>/admin/referrals</t>
        </is>
      </c>
      <c r="E80" s="15" t="inlineStr">
        <is>
          <t>Admin</t>
        </is>
      </c>
      <c r="F80" s="15" t="inlineStr">
        <is>
          <t>Pass</t>
        </is>
      </c>
      <c r="G80" s="15" t="inlineStr">
        <is>
          <t>Pass</t>
        </is>
      </c>
      <c r="H80" s="15" t="inlineStr">
        <is>
          <t>Module opens with heading, no errors, no sideways scroll (admin 360 + 1366; staff 390).</t>
        </is>
      </c>
    </row>
    <row r="81">
      <c r="A81" s="15" t="n">
        <v>80</v>
      </c>
      <c r="B81" s="15" t="inlineStr">
        <is>
          <t>Back office</t>
        </is>
      </c>
      <c r="C81" s="15" t="inlineStr">
        <is>
          <t>Refunds</t>
        </is>
      </c>
      <c r="D81" s="15" t="inlineStr">
        <is>
          <t>/admin/refunds</t>
        </is>
      </c>
      <c r="E81" s="15" t="inlineStr">
        <is>
          <t>Admin</t>
        </is>
      </c>
      <c r="F81" s="15" t="inlineStr">
        <is>
          <t>Pass</t>
        </is>
      </c>
      <c r="G81" s="15" t="inlineStr">
        <is>
          <t>Pass</t>
        </is>
      </c>
      <c r="H81" s="15" t="inlineStr">
        <is>
          <t>Module opens with heading, no errors, no sideways scroll (admin 360 + 1366; staff 390). Page opens only; refund action needs a paid order (SB-03).</t>
        </is>
      </c>
    </row>
    <row r="82">
      <c r="A82" s="15" t="n">
        <v>81</v>
      </c>
      <c r="B82" s="15" t="inlineStr">
        <is>
          <t>Back office</t>
        </is>
      </c>
      <c r="C82" s="15" t="inlineStr">
        <is>
          <t>Finance</t>
        </is>
      </c>
      <c r="D82" s="15" t="inlineStr">
        <is>
          <t>/admin/finance</t>
        </is>
      </c>
      <c r="E82" s="15" t="inlineStr">
        <is>
          <t>Admin</t>
        </is>
      </c>
      <c r="F82" s="15" t="inlineStr">
        <is>
          <t>Pass</t>
        </is>
      </c>
      <c r="G82" s="15" t="inlineStr">
        <is>
          <t>Pass</t>
        </is>
      </c>
      <c r="H82" s="15" t="inlineStr">
        <is>
          <t>Module opens with heading, no errors, no sideways scroll (admin 360 + 1366; staff 390). Page opens only; refund action needs a paid order (SB-03).</t>
        </is>
      </c>
    </row>
    <row r="83">
      <c r="A83" s="15" t="n">
        <v>82</v>
      </c>
      <c r="B83" s="15" t="inlineStr">
        <is>
          <t>Back office</t>
        </is>
      </c>
      <c r="C83" s="15" t="inlineStr">
        <is>
          <t>Content</t>
        </is>
      </c>
      <c r="D83" s="15" t="inlineStr">
        <is>
          <t>/admin/content</t>
        </is>
      </c>
      <c r="E83" s="15" t="inlineStr">
        <is>
          <t>Admin</t>
        </is>
      </c>
      <c r="F83" s="15" t="inlineStr">
        <is>
          <t>Pass</t>
        </is>
      </c>
      <c r="G83" s="15" t="inlineStr">
        <is>
          <t>Pass</t>
        </is>
      </c>
      <c r="H83" s="15" t="inlineStr">
        <is>
          <t>Module opens with heading, no errors, no sideways scroll (admin 360 + 1366; staff 390).</t>
        </is>
      </c>
    </row>
    <row r="84">
      <c r="A84" s="15" t="n">
        <v>83</v>
      </c>
      <c r="B84" s="15" t="inlineStr">
        <is>
          <t>Back office</t>
        </is>
      </c>
      <c r="C84" s="15" t="inlineStr">
        <is>
          <t>Reports</t>
        </is>
      </c>
      <c r="D84" s="15" t="inlineStr">
        <is>
          <t>/admin/reports</t>
        </is>
      </c>
      <c r="E84" s="15" t="inlineStr">
        <is>
          <t>Staff</t>
        </is>
      </c>
      <c r="F84" s="15" t="inlineStr">
        <is>
          <t>Pass</t>
        </is>
      </c>
      <c r="G84" s="15" t="inlineStr">
        <is>
          <t>Not tested</t>
        </is>
      </c>
      <c r="H84" s="15" t="inlineStr">
        <is>
          <t>RETEST 2026-10-15: fixes shipped / SB-01 verified in sandbox. Report shows only internal ID (QA-B15); takedown not told to owner (QA-B16).</t>
        </is>
      </c>
    </row>
    <row r="85">
      <c r="A85" s="15" t="n">
        <v>84</v>
      </c>
      <c r="B85" s="15" t="inlineStr">
        <is>
          <t>Back office</t>
        </is>
      </c>
      <c r="C85" s="15" t="inlineStr">
        <is>
          <t>Flatmates review</t>
        </is>
      </c>
      <c r="D85" s="15" t="inlineStr">
        <is>
          <t>/admin/flatmates</t>
        </is>
      </c>
      <c r="E85" s="15" t="inlineStr">
        <is>
          <t>Staff</t>
        </is>
      </c>
      <c r="F85" s="15" t="inlineStr">
        <is>
          <t>Pass</t>
        </is>
      </c>
      <c r="G85" s="15" t="inlineStr">
        <is>
          <t>Pass</t>
        </is>
      </c>
      <c r="H85" s="15" t="inlineStr">
        <is>
          <t>Module opens with heading, no errors, no sideways scroll (admin 360 + 1366; staff 390).</t>
        </is>
      </c>
    </row>
    <row r="86">
      <c r="A86" s="15" t="n">
        <v>85</v>
      </c>
      <c r="B86" s="15" t="inlineStr">
        <is>
          <t>Back office</t>
        </is>
      </c>
      <c r="C86" s="15" t="inlineStr">
        <is>
          <t>Places</t>
        </is>
      </c>
      <c r="D86" s="15" t="inlineStr">
        <is>
          <t>/admin/places</t>
        </is>
      </c>
      <c r="E86" s="15" t="inlineStr">
        <is>
          <t>Admin</t>
        </is>
      </c>
      <c r="F86" s="15" t="inlineStr">
        <is>
          <t>Pass</t>
        </is>
      </c>
      <c r="G86" s="15" t="inlineStr">
        <is>
          <t>Pass</t>
        </is>
      </c>
      <c r="H86" s="15" t="inlineStr">
        <is>
          <t>Module opens with heading, no errors, no sideways scroll (admin 360 + 1366; staff 390).</t>
        </is>
      </c>
    </row>
    <row r="87">
      <c r="A87" s="15" t="n">
        <v>86</v>
      </c>
      <c r="B87" s="15" t="inlineStr">
        <is>
          <t>Back office</t>
        </is>
      </c>
      <c r="C87" s="15" t="inlineStr">
        <is>
          <t>Team &amp; access</t>
        </is>
      </c>
      <c r="D87" s="15" t="inlineStr">
        <is>
          <t>/admin/team</t>
        </is>
      </c>
      <c r="E87" s="15" t="inlineStr">
        <is>
          <t>Admin</t>
        </is>
      </c>
      <c r="F87" s="15" t="inlineStr">
        <is>
          <t>Pass</t>
        </is>
      </c>
      <c r="G87" s="15" t="inlineStr">
        <is>
          <t>Pass</t>
        </is>
      </c>
      <c r="H87" s="15" t="inlineStr">
        <is>
          <t>Module opens with heading, no errors, no sideways scroll (admin 360 + 1366; staff 390).</t>
        </is>
      </c>
    </row>
    <row r="88">
      <c r="A88" s="15" t="n">
        <v>87</v>
      </c>
      <c r="B88" s="15" t="inlineStr">
        <is>
          <t>Back office</t>
        </is>
      </c>
      <c r="C88" s="15" t="inlineStr">
        <is>
          <t>Settings</t>
        </is>
      </c>
      <c r="D88" s="15" t="inlineStr">
        <is>
          <t>/admin/settings</t>
        </is>
      </c>
      <c r="E88" s="15" t="inlineStr">
        <is>
          <t>Admin</t>
        </is>
      </c>
      <c r="F88" s="15" t="inlineStr">
        <is>
          <t>Pass</t>
        </is>
      </c>
      <c r="G88" s="15" t="inlineStr">
        <is>
          <t>Pass</t>
        </is>
      </c>
      <c r="H88" s="15" t="inlineStr">
        <is>
          <t>Module opens with heading, no errors, no sideways scroll (admin 360 + 1366; staff 390).</t>
        </is>
      </c>
    </row>
    <row r="89">
      <c r="A89" s="15" t="n">
        <v>88</v>
      </c>
      <c r="B89" s="15" t="inlineStr">
        <is>
          <t>Back office</t>
        </is>
      </c>
      <c r="C89" s="15" t="inlineStr">
        <is>
          <t>Integrations</t>
        </is>
      </c>
      <c r="D89" s="15" t="inlineStr">
        <is>
          <t>/admin/integrations</t>
        </is>
      </c>
      <c r="E89" s="15" t="inlineStr">
        <is>
          <t>Admin</t>
        </is>
      </c>
      <c r="F89" s="15" t="inlineStr">
        <is>
          <t>Pass</t>
        </is>
      </c>
      <c r="G89" s="15" t="inlineStr">
        <is>
          <t>Pass</t>
        </is>
      </c>
      <c r="H89" s="15" t="inlineStr">
        <is>
          <t>Module opens with heading, no errors, no sideways scroll (admin 360 + 1366; staff 390).</t>
        </is>
      </c>
    </row>
    <row r="90">
      <c r="A90" s="15" t="n">
        <v>89</v>
      </c>
      <c r="B90" s="15" t="inlineStr">
        <is>
          <t>Back office</t>
        </is>
      </c>
      <c r="C90" s="15" t="inlineStr">
        <is>
          <t>Erasure requests</t>
        </is>
      </c>
      <c r="D90" s="15" t="inlineStr">
        <is>
          <t>/admin/erasure-requests</t>
        </is>
      </c>
      <c r="E90" s="15" t="inlineStr">
        <is>
          <t>Admin</t>
        </is>
      </c>
      <c r="F90" s="15" t="inlineStr">
        <is>
          <t>Pass</t>
        </is>
      </c>
      <c r="G90" s="15" t="inlineStr">
        <is>
          <t>Pass</t>
        </is>
      </c>
      <c r="H90" s="15" t="inlineStr">
        <is>
          <t>Erasure executed at 1366; audit written. Erased number reuse QA-B19.</t>
        </is>
      </c>
    </row>
    <row r="91">
      <c r="A91" s="15" t="n">
        <v>90</v>
      </c>
      <c r="B91" s="15" t="inlineStr">
        <is>
          <t>Back office</t>
        </is>
      </c>
      <c r="C91" s="15" t="inlineStr">
        <is>
          <t>Help feedback</t>
        </is>
      </c>
      <c r="D91" s="15" t="inlineStr">
        <is>
          <t>/admin/help-feedback</t>
        </is>
      </c>
      <c r="E91" s="15" t="inlineStr">
        <is>
          <t>Admin</t>
        </is>
      </c>
      <c r="F91" s="15" t="inlineStr">
        <is>
          <t>Pass</t>
        </is>
      </c>
      <c r="G91" s="15" t="inlineStr">
        <is>
          <t>Pass</t>
        </is>
      </c>
      <c r="H91" s="15" t="inlineStr">
        <is>
          <t>Module opens with heading, no errors, no sideways scroll (admin 360 + 1366; staff 390).</t>
        </is>
      </c>
    </row>
    <row r="92">
      <c r="A92" s="15" t="n">
        <v>91</v>
      </c>
      <c r="B92" s="15" t="inlineStr">
        <is>
          <t>Back office</t>
        </is>
      </c>
      <c r="C92" s="15" t="inlineStr">
        <is>
          <t>Error log</t>
        </is>
      </c>
      <c r="D92" s="15" t="inlineStr">
        <is>
          <t>/admin/error-log</t>
        </is>
      </c>
      <c r="E92" s="15" t="inlineStr">
        <is>
          <t>Admin</t>
        </is>
      </c>
      <c r="F92" s="15" t="inlineStr">
        <is>
          <t>Pass</t>
        </is>
      </c>
      <c r="G92" s="15" t="inlineStr">
        <is>
          <t>Pass</t>
        </is>
      </c>
      <c r="H92" s="15" t="inlineStr">
        <is>
          <t>Module opens with heading, no errors, no sideways scroll (admin 360 + 1366; staff 390).</t>
        </is>
      </c>
    </row>
    <row r="93">
      <c r="A93" s="15" t="n">
        <v>92</v>
      </c>
      <c r="B93" s="15" t="inlineStr">
        <is>
          <t>Back office</t>
        </is>
      </c>
      <c r="C93" s="15" t="inlineStr">
        <is>
          <t>Post on behalf</t>
        </is>
      </c>
      <c r="D93" s="15" t="inlineStr">
        <is>
          <t>/admin/post-on-behalf</t>
        </is>
      </c>
      <c r="E93" s="15" t="inlineStr">
        <is>
          <t>Admin</t>
        </is>
      </c>
      <c r="F93" s="15" t="inlineStr">
        <is>
          <t>Pass</t>
        </is>
      </c>
      <c r="G93" s="15" t="inlineStr">
        <is>
          <t>Pass</t>
        </is>
      </c>
      <c r="H93" s="15" t="inlineStr">
        <is>
          <t>Module opens with heading, no errors, no sideways scroll (admin 360 + 1366; staff 390).</t>
        </is>
      </c>
    </row>
    <row r="94">
      <c r="A94" s="15" t="n">
        <v>93</v>
      </c>
      <c r="B94" s="15" t="inlineStr">
        <is>
          <t>Back office</t>
        </is>
      </c>
      <c r="C94" s="15" t="inlineStr">
        <is>
          <t>Team activity</t>
        </is>
      </c>
      <c r="D94" s="15" t="inlineStr">
        <is>
          <t>/admin/staff-activity</t>
        </is>
      </c>
      <c r="E94" s="15" t="inlineStr">
        <is>
          <t>Manager</t>
        </is>
      </c>
      <c r="F94" s="15" t="inlineStr">
        <is>
          <t>Pass</t>
        </is>
      </c>
      <c r="G94" s="15" t="inlineStr">
        <is>
          <t>Pass</t>
        </is>
      </c>
      <c r="H94" s="15" t="inlineStr">
        <is>
          <t>Module opens with heading, no errors, no sideways scroll (admin 360 + 1366; staff 390).</t>
        </is>
      </c>
    </row>
    <row r="95">
      <c r="A95" s="15" t="n">
        <v>94</v>
      </c>
      <c r="B95" s="15" t="inlineStr">
        <is>
          <t>Role access</t>
        </is>
      </c>
      <c r="C95" s="15" t="inlineStr">
        <is>
          <t>Back office by URL</t>
        </is>
      </c>
      <c r="D95" s="15" t="inlineStr">
        <is>
          <t>/admin/*</t>
        </is>
      </c>
      <c r="E95" s="15" t="inlineStr">
        <is>
          <t>Buyer</t>
        </is>
      </c>
      <c r="F95" s="15" t="inlineStr">
        <is>
          <t>Pass</t>
        </is>
      </c>
      <c r="G95" s="15" t="inlineStr">
        <is>
          <t>Pass</t>
        </is>
      </c>
      <c r="H95" s="15" t="inlineStr">
        <is>
          <t>Server refuses with 403 (API) and UI redirects to staff login / /admin.</t>
        </is>
      </c>
    </row>
    <row r="96">
      <c r="A96" s="15" t="n">
        <v>95</v>
      </c>
      <c r="B96" s="15" t="inlineStr">
        <is>
          <t>Role access</t>
        </is>
      </c>
      <c r="C96" s="15" t="inlineStr">
        <is>
          <t>Admin-only modules by URL</t>
        </is>
      </c>
      <c r="D96" s="15" t="inlineStr">
        <is>
          <t>/admin/settings etc</t>
        </is>
      </c>
      <c r="E96" s="15" t="inlineStr">
        <is>
          <t>Staff</t>
        </is>
      </c>
      <c r="F96" s="15" t="inlineStr">
        <is>
          <t>Pass</t>
        </is>
      </c>
      <c r="G96" s="15" t="inlineStr">
        <is>
          <t>Pass</t>
        </is>
      </c>
      <c r="H96" s="15" t="inlineStr">
        <is>
          <t>Server refuses with 403 (API) and UI redirects to staff login / /admin.</t>
        </is>
      </c>
    </row>
    <row r="97">
      <c r="A97" s="15" t="n">
        <v>96</v>
      </c>
      <c r="B97" s="15" t="inlineStr">
        <is>
          <t>Role access</t>
        </is>
      </c>
      <c r="C97" s="15" t="inlineStr">
        <is>
          <t>Private pages by URL</t>
        </is>
      </c>
      <c r="D97" s="15" t="inlineStr">
        <is>
          <t>/dashboard,/messages</t>
        </is>
      </c>
      <c r="E97" s="15" t="inlineStr">
        <is>
          <t>Guest</t>
        </is>
      </c>
      <c r="F97" s="15" t="inlineStr">
        <is>
          <t>Pass</t>
        </is>
      </c>
      <c r="G97" s="15" t="inlineStr">
        <is>
          <t>Pass</t>
        </is>
      </c>
      <c r="H97" s="15" t="inlineStr">
        <is>
          <t>Redirects to /signin?next= .</t>
        </is>
      </c>
    </row>
    <row r="98">
      <c r="A98" s="15" t="n">
        <v>97</v>
      </c>
      <c r="B98" s="15" t="inlineStr">
        <is>
          <t>Layout</t>
        </is>
      </c>
      <c r="C98" s="15" t="inlineStr">
        <is>
          <t>Consumer shell: navbar + account drawer + bottom nav</t>
        </is>
      </c>
      <c r="D98" s="15" t="inlineStr">
        <is>
          <t>all consumer</t>
        </is>
      </c>
      <c r="E98" s="15" t="inlineStr">
        <is>
          <t>Owner (longest account menu)</t>
        </is>
      </c>
      <c r="F98" s="15" t="inlineStr">
        <is>
          <t>Not tested</t>
        </is>
      </c>
      <c r="G98" s="15" t="inlineStr">
        <is>
          <t>Pass</t>
        </is>
      </c>
      <c r="H98" s="15" t="inlineStr">
        <is>
          <t>RETEST 2026-10-15: fixes shipped / SB-01 verified in sandbox. Phone 360 owner: account menu last item reachable portrait+landscape, bottom nav links, + chooser, bar stays on scroll; cookie Customize cut off (QA-B01); Ask Draaz over sheets (QA-B04). Desktop 1366 Chromium + 1920 Firefox: header fixed, menu/Esc, focus ring on all 12 header stops.</t>
        </is>
      </c>
    </row>
    <row r="99">
      <c r="A99" s="15" t="n">
        <v>98</v>
      </c>
      <c r="B99" s="15" t="inlineStr">
        <is>
          <t>Layout</t>
        </is>
      </c>
      <c r="C99" s="15" t="inlineStr">
        <is>
          <t>Dashboard nav (sidebar / mobile sheet)</t>
        </is>
      </c>
      <c r="D99" s="15" t="inlineStr">
        <is>
          <t>/dashboard</t>
        </is>
      </c>
      <c r="E99" s="15" t="inlineStr">
        <is>
          <t>Owner+tenant (most groups)</t>
        </is>
      </c>
      <c r="F99" s="15" t="inlineStr">
        <is>
          <t>Not tested</t>
        </is>
      </c>
      <c r="G99" s="15" t="inlineStr">
        <is>
          <t>Pass</t>
        </is>
      </c>
      <c r="H99" s="15" t="inlineStr">
        <is>
          <t>RETEST 2026-10-15: fixes shipped / SB-01 verified in sandbox. Phone: 5 tabs fit, last tab opens; "My Properties" clipped at 360 (QA-B22).</t>
        </is>
      </c>
    </row>
    <row r="100">
      <c r="A100" s="15" t="n">
        <v>99</v>
      </c>
      <c r="B100" s="15" t="inlineStr">
        <is>
          <t>Layout</t>
        </is>
      </c>
      <c r="C100" s="15" t="inlineStr">
        <is>
          <t>Admin shell side menu</t>
        </is>
      </c>
      <c r="D100" s="15" t="inlineStr">
        <is>
          <t>/admin</t>
        </is>
      </c>
      <c r="E100" s="15" t="inlineStr">
        <is>
          <t>Admin (longest menu)</t>
        </is>
      </c>
      <c r="F100" s="15" t="inlineStr">
        <is>
          <t>Pass</t>
        </is>
      </c>
      <c r="G100" s="15" t="inlineStr">
        <is>
          <t>Pass</t>
        </is>
      </c>
      <c r="H100" s="15" t="inlineStr">
        <is>
          <t>Phone 360: 31 items, last "Error log" scrolled to and tapped, landscape too. Desktop 1366 Chromium / 1920 Firefox: sidebar + header sticky, menu scrolls on its own.</t>
        </is>
      </c>
    </row>
    <row r="101">
      <c r="A101" s="15" t="n">
        <v>100</v>
      </c>
      <c r="B101" s="15" t="inlineStr">
        <is>
          <t>Layout</t>
        </is>
      </c>
      <c r="C101" s="15" t="inlineStr">
        <is>
          <t>Help layout</t>
        </is>
      </c>
      <c r="D101" s="15" t="inlineStr">
        <is>
          <t>/help</t>
        </is>
      </c>
      <c r="E101" s="15" t="inlineStr">
        <is>
          <t>Guest</t>
        </is>
      </c>
      <c r="F101" s="15" t="inlineStr">
        <is>
          <t>Pass</t>
        </is>
      </c>
      <c r="G101" s="15" t="inlineStr">
        <is>
          <t>Pass</t>
        </is>
      </c>
      <c r="H101" s="15" t="inlineStr">
        <is>
          <t>Loads, no sideways scroll; sidebar scroll not checked separately.</t>
        </is>
      </c>
    </row>
    <row r="102">
      <c r="A102" s="15" t="n">
        <v>101</v>
      </c>
      <c r="B102" s="15" t="inlineStr">
        <is>
          <t>Layout</t>
        </is>
      </c>
      <c r="C102" s="15" t="inlineStr">
        <is>
          <t>Auth shell / staff shell</t>
        </is>
      </c>
      <c r="D102" s="15" t="inlineStr">
        <is>
          <t>/signin,/staff-login</t>
        </is>
      </c>
      <c r="E102" s="15" t="inlineStr">
        <is>
          <t>Guest</t>
        </is>
      </c>
      <c r="F102" s="15" t="inlineStr">
        <is>
          <t>Pass</t>
        </is>
      </c>
      <c r="G102" s="15" t="inlineStr">
        <is>
          <t>Pass</t>
        </is>
      </c>
      <c r="H102" s="15" t="inlineStr">
        <is>
          <t>Sign-in and staff login used throughout at both sizes; Turnstile widget loads under CSP.</t>
        </is>
      </c>
    </row>
  </sheetData>
  <autoFilter ref="A1:H102"/>
  <conditionalFormatting sqref="F2:G10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tested"</formula>
    </cfRule>
  </conditionalFormatting>
  <dataValidations count="1">
    <dataValidation sqref="F2:G102" showDropDown="0" showInputMessage="0" showErrorMessage="0" allowBlank="1" type="list">
      <formula1>"Pass,Fail,Blocked,Not tested"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2026-10-10T09:06:57Z</dcterms:created>
  <dcterms:modified xsi:type="dcterms:W3CDTF">2026-10-17T10:22:52Z</dcterms:modified>
</cp:coreProperties>
</file>